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285" activeTab="3"/>
  </bookViews>
  <sheets>
    <sheet name="표지" sheetId="3" r:id="rId1"/>
    <sheet name="첫장" sheetId="2" r:id="rId2"/>
    <sheet name="설명" sheetId="5" r:id="rId3"/>
    <sheet name="요구사항정의서(MIS)" sheetId="1" r:id="rId4"/>
    <sheet name="요약" sheetId="6" r:id="rId5"/>
  </sheets>
  <definedNames>
    <definedName name="_xlnm._FilterDatabase" localSheetId="3" hidden="1">'요구사항정의서(MIS)'!$A$1:$Q$104</definedName>
    <definedName name="_xlnm.Print_Area" localSheetId="3">'요구사항정의서(MIS)'!$A$1:$S$7</definedName>
  </definedNames>
  <calcPr calcId="145621"/>
</workbook>
</file>

<file path=xl/calcChain.xml><?xml version="1.0" encoding="utf-8"?>
<calcChain xmlns="http://schemas.openxmlformats.org/spreadsheetml/2006/main">
  <c r="C24" i="6" l="1"/>
  <c r="C23" i="6"/>
  <c r="C22" i="6"/>
  <c r="C17" i="6"/>
  <c r="C16" i="6"/>
  <c r="C15" i="6"/>
  <c r="C10" i="6"/>
  <c r="C9" i="6"/>
  <c r="C8" i="6"/>
  <c r="C7" i="6"/>
  <c r="C6" i="6"/>
  <c r="C25" i="6" l="1"/>
  <c r="C18" i="6"/>
  <c r="C11" i="6"/>
</calcChain>
</file>

<file path=xl/comments1.xml><?xml version="1.0" encoding="utf-8"?>
<comments xmlns="http://schemas.openxmlformats.org/spreadsheetml/2006/main">
  <authors>
    <author>moon</author>
  </authors>
  <commentList>
    <comment ref="E1" authorId="0">
      <text>
        <r>
          <rPr>
            <b/>
            <sz val="9"/>
            <color indexed="81"/>
            <rFont val="돋움"/>
            <family val="3"/>
            <charset val="129"/>
          </rPr>
          <t>추가
이관추가
변경
삭제
이관삭제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상
중
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수용
미수용
미결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<sst xmlns="http://schemas.openxmlformats.org/spreadsheetml/2006/main" count="1746" uniqueCount="597">
  <si>
    <t>개 정 이 력</t>
  </si>
  <si>
    <t>No</t>
  </si>
  <si>
    <t>작성자</t>
  </si>
  <si>
    <t>승인자</t>
  </si>
  <si>
    <t>신규</t>
  </si>
  <si>
    <t>최초 작성</t>
  </si>
  <si>
    <r>
      <t>버전</t>
    </r>
    <r>
      <rPr>
        <b/>
        <vertAlign val="superscript"/>
        <sz val="11"/>
        <rFont val="바탕체"/>
        <family val="1"/>
        <charset val="129"/>
      </rPr>
      <t>1)</t>
    </r>
    <phoneticPr fontId="1" type="noConversion"/>
  </si>
  <si>
    <t>개정일</t>
    <phoneticPr fontId="1" type="noConversion"/>
  </si>
  <si>
    <t>확인</t>
    <phoneticPr fontId="1" type="noConversion"/>
  </si>
  <si>
    <r>
      <t>변경 내용</t>
    </r>
    <r>
      <rPr>
        <b/>
        <vertAlign val="superscript"/>
        <sz val="11"/>
        <rFont val="바탕체"/>
        <family val="1"/>
        <charset val="129"/>
      </rPr>
      <t>3)</t>
    </r>
    <phoneticPr fontId="1" type="noConversion"/>
  </si>
  <si>
    <r>
      <t>변경사유</t>
    </r>
    <r>
      <rPr>
        <b/>
        <vertAlign val="superscript"/>
        <sz val="11"/>
        <rFont val="바탕체"/>
        <family val="1"/>
        <charset val="129"/>
      </rPr>
      <t>2)</t>
    </r>
    <phoneticPr fontId="1" type="noConversion"/>
  </si>
  <si>
    <t>일련번호</t>
  </si>
  <si>
    <t>요구사항정의ID</t>
  </si>
  <si>
    <t>세분화된 요구사항의 내용을 시스템 구현방안 등을 고려하여 구체적으로 정의하되, 기능요구사항의 경우에는  '누가 무엇을 어떻게 하도록 한다.' 형식으로 명확하게 작성한다.</t>
  </si>
  <si>
    <t>사용권한</t>
  </si>
  <si>
    <t>요구사항 해결방안</t>
  </si>
  <si>
    <t>중요도</t>
  </si>
  <si>
    <t xml:space="preserve">중요도를 '상/중/하'로 구분하여 작성한다. </t>
  </si>
  <si>
    <t>관련부서</t>
  </si>
  <si>
    <t>해당 기능과 관련된 부서를 명시한다.</t>
  </si>
  <si>
    <t>부서담당자</t>
  </si>
  <si>
    <t>해당 기능과 관련된 부서의 담당자를 명시한다.</t>
  </si>
  <si>
    <t>요구사항정의명</t>
    <phoneticPr fontId="1" type="noConversion"/>
  </si>
  <si>
    <t>Copyright © ㈜에이투엠</t>
    <phoneticPr fontId="1" type="noConversion"/>
  </si>
  <si>
    <t>㈜에이투엠의 사전 승인 없이 본 내용의 전부 또는 일부에 대한 복사, 전재, 배포, 사용을 금합니다.</t>
    <phoneticPr fontId="1" type="noConversion"/>
  </si>
  <si>
    <t>0.1</t>
    <phoneticPr fontId="1" type="noConversion"/>
  </si>
  <si>
    <t>10_RA32_요구사항정의서</t>
    <phoneticPr fontId="1" type="noConversion"/>
  </si>
  <si>
    <t>(주)에이투엠</t>
    <phoneticPr fontId="1" type="noConversion"/>
  </si>
  <si>
    <t>승인</t>
    <phoneticPr fontId="1" type="noConversion"/>
  </si>
  <si>
    <t>검토</t>
    <phoneticPr fontId="1" type="noConversion"/>
  </si>
  <si>
    <t>한국과학기술정보연구원</t>
    <phoneticPr fontId="1" type="noConversion"/>
  </si>
  <si>
    <t>성과</t>
    <phoneticPr fontId="1" type="noConversion"/>
  </si>
  <si>
    <t>FUR-178</t>
    <phoneticPr fontId="1" type="noConversion"/>
  </si>
  <si>
    <t>선행기술조사관리</t>
    <phoneticPr fontId="1" type="noConversion"/>
  </si>
  <si>
    <t>FUR-178-01-0100</t>
    <phoneticPr fontId="1" type="noConversion"/>
  </si>
  <si>
    <t>관리화면 별 입력, 수정, 삭제, 조회, 엑셀다운, 첨부파일 기능</t>
    <phoneticPr fontId="1" type="noConversion"/>
  </si>
  <si>
    <t>선행기술조사분석신청서(전자결재)</t>
    <phoneticPr fontId="1" type="noConversion"/>
  </si>
  <si>
    <t>선행기술조사분석통보서(전자결재)</t>
    <phoneticPr fontId="1" type="noConversion"/>
  </si>
  <si>
    <t>선행기술조사분석관리 및 조회</t>
    <phoneticPr fontId="1" type="noConversion"/>
  </si>
  <si>
    <t>FUR-178-01-0200</t>
    <phoneticPr fontId="1" type="noConversion"/>
  </si>
  <si>
    <t>FUR-178-01-0400</t>
    <phoneticPr fontId="1" type="noConversion"/>
  </si>
  <si>
    <t>FUR-178-01-0300</t>
    <phoneticPr fontId="1" type="noConversion"/>
  </si>
  <si>
    <t>- 관리화면별 입력, 수정, 삭제, 조회, 엑셀다운, 첨부파일 기능을 제공한다.</t>
    <phoneticPr fontId="1" type="noConversion"/>
  </si>
  <si>
    <t>- 선행기술조사분석 신청서를 관리한다.
문서번호, 신청자, 연구과제개요, 발명정보, 명칭, 종류, 내용</t>
    <phoneticPr fontId="1" type="noConversion"/>
  </si>
  <si>
    <t>- 선행기술조사분석통보서를 관리한다.
분석신청서 내용, 조사분석의뢰일, 결과보고접수일, 내용요약, 조사기관, 의견, 관리번호</t>
    <phoneticPr fontId="1" type="noConversion"/>
  </si>
  <si>
    <t>- 선행기술조사분서관리 및 조회기능을 제공한다.
조사분석리시트, 과제정보, 신청정보, 통보정보, 지급정보</t>
    <phoneticPr fontId="1" type="noConversion"/>
  </si>
  <si>
    <t>FUR-179</t>
    <phoneticPr fontId="1" type="noConversion"/>
  </si>
  <si>
    <t>특허출원관리</t>
    <phoneticPr fontId="1" type="noConversion"/>
  </si>
  <si>
    <t>FUR-179-01-0100</t>
    <phoneticPr fontId="1" type="noConversion"/>
  </si>
  <si>
    <t>발명(출원)신고서(전자결재)</t>
    <phoneticPr fontId="1" type="noConversion"/>
  </si>
  <si>
    <t>해외특허출원신고서(전자결재)</t>
    <phoneticPr fontId="1" type="noConversion"/>
  </si>
  <si>
    <t>출원완료통보서(전자결재)</t>
    <phoneticPr fontId="1" type="noConversion"/>
  </si>
  <si>
    <t>의견보정서완료통보서(전자결재)</t>
    <phoneticPr fontId="1" type="noConversion"/>
  </si>
  <si>
    <t>특허등록완료통보서(전자결재)</t>
    <phoneticPr fontId="1" type="noConversion"/>
  </si>
  <si>
    <t>특허유지포기결과보고서(전자결재)</t>
    <phoneticPr fontId="1" type="noConversion"/>
  </si>
  <si>
    <t>특허비용지급신청서(전자결재)</t>
    <phoneticPr fontId="1" type="noConversion"/>
  </si>
  <si>
    <t>직무발명보상금지급신청서(전자결재)</t>
    <phoneticPr fontId="1" type="noConversion"/>
  </si>
  <si>
    <t>특허관리</t>
    <phoneticPr fontId="1" type="noConversion"/>
  </si>
  <si>
    <t>- 발명(출원)신고서를 관리한다.
문서번호, 발명명칭, 발명종류,주발명자, 핵심내용, 출원희망대리기관, 심창청구여부, 우선심사청구여부, 특징, 양도증, 연구과제개요, 발명자정보</t>
    <phoneticPr fontId="1" type="noConversion"/>
  </si>
  <si>
    <t>- 해외특허출원신고서를 관리한다.
문서번호, 발명명칭, 발명종류,주발명자, 핵심내용, 출원희망대리기관, 심창청구여부, 우선심사청구여부, 특징, 양도증, 연구과제개요, 발명자정보</t>
    <phoneticPr fontId="1" type="noConversion"/>
  </si>
  <si>
    <t>- 출원완료통보서를 관리한다.
문서번호, 출원신청리스트 선택, 출원의뢰일, 출원번호, 출원완료일, 출원국가, 출원명세서, 출원번호통지서, 심사청구여부, 우선심사청구여부, 특징, 양도증, 연구과제개요, 발명자정보</t>
    <phoneticPr fontId="1" type="noConversion"/>
  </si>
  <si>
    <t>- 의견보정서완료통보서를 관리한다.
문서번호, 출원신청리스트 선택, 출원정보, 출원번호, 출원완료일, 출원국가, 발명정보, 과제정보, 의견제출통지서</t>
    <phoneticPr fontId="1" type="noConversion"/>
  </si>
  <si>
    <t>- 특허등록완료통보서를 관리한다.
문서번호, 출원신청리스트 선택, 출원정보, 발명의종류, 특허등록번호, 특허등록완료일자, 출원국가, 특허등록증, 관리번호, 과제정보, 발명자정보</t>
    <phoneticPr fontId="1" type="noConversion"/>
  </si>
  <si>
    <t>- 특허유지포기결과보고서를 관리한다.
문서번호, 출원신청리스트 선택, 출원정보, 발명의종류, 특허등록번호, 특허등록완료일자, 출원국가, 특허유지포기정보, 기술이전여부, 유지여부, 포기일자, 사유, 심의결과, 심의결과서</t>
    <phoneticPr fontId="1" type="noConversion"/>
  </si>
  <si>
    <t>- 특허비용지급신청서를 관리한다.
문서번호, 발명명칭, 유발과제, 비용지급과제, 금액, 증빙, 신청금액, 거래처, 계좌번호</t>
    <phoneticPr fontId="1" type="noConversion"/>
  </si>
  <si>
    <t>- 직무발명보상지급신청서를 관리한다.
문서번호, 발명정보, 유발과제정보, 지급신청정보, 지급과제정보</t>
    <phoneticPr fontId="1" type="noConversion"/>
  </si>
  <si>
    <t>- 특허를 관리한다.
검색조건, 발명목록, 발명신청 정보, 완료통보정보, 유지포기정보, 출원정보, 등록정보, 발명자정보</t>
    <phoneticPr fontId="1" type="noConversion"/>
  </si>
  <si>
    <t>FUR-179-01-0200</t>
    <phoneticPr fontId="1" type="noConversion"/>
  </si>
  <si>
    <t>FUR-179-01-0300</t>
    <phoneticPr fontId="1" type="noConversion"/>
  </si>
  <si>
    <t>FUR-179-01-0400</t>
    <phoneticPr fontId="1" type="noConversion"/>
  </si>
  <si>
    <t>FUR-179-01-0500</t>
    <phoneticPr fontId="1" type="noConversion"/>
  </si>
  <si>
    <t>FUR-179-01-0600</t>
    <phoneticPr fontId="1" type="noConversion"/>
  </si>
  <si>
    <t>FUR-179-01-0700</t>
    <phoneticPr fontId="1" type="noConversion"/>
  </si>
  <si>
    <t>FUR-179-01-0800</t>
    <phoneticPr fontId="1" type="noConversion"/>
  </si>
  <si>
    <t>FUR-179-01-0900</t>
    <phoneticPr fontId="1" type="noConversion"/>
  </si>
  <si>
    <t>FUR-179-01-1000</t>
    <phoneticPr fontId="1" type="noConversion"/>
  </si>
  <si>
    <t>FUR-180</t>
    <phoneticPr fontId="1" type="noConversion"/>
  </si>
  <si>
    <t>특허출원조회</t>
    <phoneticPr fontId="1" type="noConversion"/>
  </si>
  <si>
    <t>FUR-180-01-0100</t>
    <phoneticPr fontId="1" type="noConversion"/>
  </si>
  <si>
    <t>발명(출원)신고서리스트조회</t>
    <phoneticPr fontId="1" type="noConversion"/>
  </si>
  <si>
    <t>출원완료통보서리스트 조회</t>
    <phoneticPr fontId="1" type="noConversion"/>
  </si>
  <si>
    <t>의견보정서완료통보서리스트 조회</t>
    <phoneticPr fontId="1" type="noConversion"/>
  </si>
  <si>
    <t>특허등록완료통보서리스트 조회</t>
    <phoneticPr fontId="1" type="noConversion"/>
  </si>
  <si>
    <t>특허비용지급신청서리스트 조회</t>
    <phoneticPr fontId="1" type="noConversion"/>
  </si>
  <si>
    <t>직무발명보상금지급신청서리스트 조회</t>
    <phoneticPr fontId="1" type="noConversion"/>
  </si>
  <si>
    <t>특허리스트조회(특허기준/발명자기준)</t>
    <phoneticPr fontId="1" type="noConversion"/>
  </si>
  <si>
    <t>특허비용엑셀업로드</t>
    <phoneticPr fontId="1" type="noConversion"/>
  </si>
  <si>
    <t>특허행정처리현황 조회</t>
    <phoneticPr fontId="1" type="noConversion"/>
  </si>
  <si>
    <t>- 발명(출원)신고서리스트를 조회한다.</t>
    <phoneticPr fontId="1" type="noConversion"/>
  </si>
  <si>
    <t>- 출원완료통보서리스트를 조회한다.</t>
    <phoneticPr fontId="1" type="noConversion"/>
  </si>
  <si>
    <t>- 의견보정서완료통보서리스트를 조회한다.</t>
    <phoneticPr fontId="1" type="noConversion"/>
  </si>
  <si>
    <t>- 특허등록완료통보서리스트를 조회한다.</t>
    <phoneticPr fontId="1" type="noConversion"/>
  </si>
  <si>
    <t>- 특허비용지급신청서리스트를 조회한다.</t>
    <phoneticPr fontId="1" type="noConversion"/>
  </si>
  <si>
    <t>- 직무발명보상금지급신청서리스트를 조회한다.</t>
    <phoneticPr fontId="1" type="noConversion"/>
  </si>
  <si>
    <t>- 특허리스트를 조회한다.</t>
    <phoneticPr fontId="1" type="noConversion"/>
  </si>
  <si>
    <t>- 특허비용엑셀업로드 기능을 제공한다.</t>
    <phoneticPr fontId="1" type="noConversion"/>
  </si>
  <si>
    <t>- 특허행정처리현황을 조회한다.</t>
    <phoneticPr fontId="1" type="noConversion"/>
  </si>
  <si>
    <t>FUR-180-01-0200</t>
    <phoneticPr fontId="1" type="noConversion"/>
  </si>
  <si>
    <t>FUR-180-01-0300</t>
    <phoneticPr fontId="1" type="noConversion"/>
  </si>
  <si>
    <t>FUR-180-01-0400</t>
    <phoneticPr fontId="1" type="noConversion"/>
  </si>
  <si>
    <t>FUR-180-01-0500</t>
    <phoneticPr fontId="1" type="noConversion"/>
  </si>
  <si>
    <t>FUR-180-01-0600</t>
    <phoneticPr fontId="1" type="noConversion"/>
  </si>
  <si>
    <t>FUR-180-01-0700</t>
    <phoneticPr fontId="1" type="noConversion"/>
  </si>
  <si>
    <t>FUR-180-01-0800</t>
    <phoneticPr fontId="1" type="noConversion"/>
  </si>
  <si>
    <t>FUR-180-01-0900</t>
    <phoneticPr fontId="1" type="noConversion"/>
  </si>
  <si>
    <t>FUR-180-01-1000</t>
    <phoneticPr fontId="1" type="noConversion"/>
  </si>
  <si>
    <t>FUR-181</t>
    <phoneticPr fontId="1" type="noConversion"/>
  </si>
  <si>
    <t>학술지관리</t>
    <phoneticPr fontId="1" type="noConversion"/>
  </si>
  <si>
    <t>FUR-181-01-0100</t>
    <phoneticPr fontId="1" type="noConversion"/>
  </si>
  <si>
    <t>학술지대외발표승인신청서(전자결재)</t>
    <phoneticPr fontId="1" type="noConversion"/>
  </si>
  <si>
    <t>학술지게재실적등록신청서(전자결재)</t>
    <phoneticPr fontId="1" type="noConversion"/>
  </si>
  <si>
    <t>학술지대외발표승인신청서 조회</t>
    <phoneticPr fontId="1" type="noConversion"/>
  </si>
  <si>
    <t>학술지게재실적등록신청서 조회</t>
    <phoneticPr fontId="1" type="noConversion"/>
  </si>
  <si>
    <t>통합저널관리</t>
    <phoneticPr fontId="1" type="noConversion"/>
  </si>
  <si>
    <t>FUR-181-01-0200</t>
    <phoneticPr fontId="1" type="noConversion"/>
  </si>
  <si>
    <t>FUR-181-01-0300</t>
    <phoneticPr fontId="1" type="noConversion"/>
  </si>
  <si>
    <t>FUR-181-01-0400</t>
    <phoneticPr fontId="1" type="noConversion"/>
  </si>
  <si>
    <t>FUR-181-01-0500</t>
    <phoneticPr fontId="1" type="noConversion"/>
  </si>
  <si>
    <t>FUR-181-01-0600</t>
    <phoneticPr fontId="1" type="noConversion"/>
  </si>
  <si>
    <t>FUR-181-01-0700</t>
    <phoneticPr fontId="1" type="noConversion"/>
  </si>
  <si>
    <t>- 학술지대외발표승인신청서를 관리한다.
논문투고시점검안내, 문서번호, 서지정보, 저널명, 논문명, 학술지명, sci구분, 발행일자, ISSN, 주저자, 교신저자, 공저자, 키워드, 논문원본, 유사도검사결과</t>
    <phoneticPr fontId="1" type="noConversion"/>
  </si>
  <si>
    <t>- 학술지게재실적등록신청서를 관리한다.
문서번호, 대외발표승인건 조회, 서지정보, 저널명, 논문명, 학술지명, sci구분, 발행일자, ISSN, 주저자, 교신저자, 공저자, 키워드, 논문원본, 게재확인서</t>
    <phoneticPr fontId="1" type="noConversion"/>
  </si>
  <si>
    <t>- 학술지대외발표승인신청서를 조회한다.</t>
    <phoneticPr fontId="1" type="noConversion"/>
  </si>
  <si>
    <t>- 학술지게재실적등록신청서를 조회한다.</t>
    <phoneticPr fontId="1" type="noConversion"/>
  </si>
  <si>
    <t>- 학술지를 관리한다.
학술지관련 신청서의 모든 항목 조회, 담당자 관리 기능</t>
    <phoneticPr fontId="1" type="noConversion"/>
  </si>
  <si>
    <t>- 통합저널을 관리한다.
eGate제어번호, 권장여부, 저널명, 창간년도, 출판사, 국내외구분, piSSN,eiSSN, SCI, SSCI, SCIR.SCOPUS</t>
    <phoneticPr fontId="1" type="noConversion"/>
  </si>
  <si>
    <t>FUR-182</t>
    <phoneticPr fontId="1" type="noConversion"/>
  </si>
  <si>
    <t>학술발표관리</t>
    <phoneticPr fontId="1" type="noConversion"/>
  </si>
  <si>
    <t>FUR-182-01-0100</t>
    <phoneticPr fontId="1" type="noConversion"/>
  </si>
  <si>
    <t>학회발표대외발표승인신청서(전자결재)</t>
    <phoneticPr fontId="1" type="noConversion"/>
  </si>
  <si>
    <t>학회발표실적등록신청서(전자결재)</t>
    <phoneticPr fontId="1" type="noConversion"/>
  </si>
  <si>
    <t>학회발표대외발표승인신청서 조회</t>
    <phoneticPr fontId="1" type="noConversion"/>
  </si>
  <si>
    <t>학회발표게재실적등록신청서 조회</t>
    <phoneticPr fontId="1" type="noConversion"/>
  </si>
  <si>
    <t>학회발표관리</t>
    <phoneticPr fontId="1" type="noConversion"/>
  </si>
  <si>
    <t>주최기관관리</t>
    <phoneticPr fontId="1" type="noConversion"/>
  </si>
  <si>
    <t>FUR-182-01-0200</t>
    <phoneticPr fontId="1" type="noConversion"/>
  </si>
  <si>
    <t>FUR-182-01-0300</t>
    <phoneticPr fontId="1" type="noConversion"/>
  </si>
  <si>
    <t>FUR-182-01-0400</t>
    <phoneticPr fontId="1" type="noConversion"/>
  </si>
  <si>
    <t>FUR-182-01-0500</t>
    <phoneticPr fontId="1" type="noConversion"/>
  </si>
  <si>
    <t>FUR-182-01-0600</t>
    <phoneticPr fontId="1" type="noConversion"/>
  </si>
  <si>
    <t>FUR-182-01-0700</t>
    <phoneticPr fontId="1" type="noConversion"/>
  </si>
  <si>
    <t>- 학회발표대외발표승인신청서를 관리한다.
학술대회참석시점검안내, 문서번호, 발표자료명,발표회명, 주최기관, 발표예정일자, 국가, 논문공개여부, DOI, 주저자, 교신저자, 공저자, 키워드, 논문원본, 유사도검사결과</t>
    <phoneticPr fontId="1" type="noConversion"/>
  </si>
  <si>
    <t>- 학회발표실적등록신청서를 관리한다.
문서번호, 대외발표승인건 조회, , 주저자, 교신저자, 공저자, 키워드, 논문원본, 증빙자료</t>
    <phoneticPr fontId="1" type="noConversion"/>
  </si>
  <si>
    <t>- 학회발표대외발표승인신청서를 조회한다.</t>
    <phoneticPr fontId="1" type="noConversion"/>
  </si>
  <si>
    <t>- 학회발표게재실적등록신청서를 조회한다.</t>
    <phoneticPr fontId="1" type="noConversion"/>
  </si>
  <si>
    <t>- 주최기관을 관리한다.</t>
    <phoneticPr fontId="1" type="noConversion"/>
  </si>
  <si>
    <t>- 학회발표를 관리한다.
학회발표관련 신청서의 모든 항목 조회, 담당자 관리 기능</t>
    <phoneticPr fontId="1" type="noConversion"/>
  </si>
  <si>
    <t>FUR-183</t>
    <phoneticPr fontId="1" type="noConversion"/>
  </si>
  <si>
    <t>ISBN관리</t>
    <phoneticPr fontId="1" type="noConversion"/>
  </si>
  <si>
    <t>FUR-183-01-0100</t>
    <phoneticPr fontId="1" type="noConversion"/>
  </si>
  <si>
    <t>ISBN등록신청서(전자결재)</t>
    <phoneticPr fontId="1" type="noConversion"/>
  </si>
  <si>
    <t>ISBN최종등록신청서(전자결재)</t>
    <phoneticPr fontId="1" type="noConversion"/>
  </si>
  <si>
    <t>ISBN번호통보서(전자결재)</t>
    <phoneticPr fontId="1" type="noConversion"/>
  </si>
  <si>
    <t>ISBN평가등급관리</t>
    <phoneticPr fontId="1" type="noConversion"/>
  </si>
  <si>
    <t>ISBN 관리</t>
    <phoneticPr fontId="1" type="noConversion"/>
  </si>
  <si>
    <t>ISBN 등록신청서리스트 조회</t>
    <phoneticPr fontId="1" type="noConversion"/>
  </si>
  <si>
    <t>ISBN 최종등록신청서리스트 조회</t>
    <phoneticPr fontId="1" type="noConversion"/>
  </si>
  <si>
    <t>ISBN 번호통보서리스트 조회</t>
    <phoneticPr fontId="1" type="noConversion"/>
  </si>
  <si>
    <t>FUR-183-01-0200</t>
    <phoneticPr fontId="1" type="noConversion"/>
  </si>
  <si>
    <t>FUR-183-01-0400</t>
    <phoneticPr fontId="1" type="noConversion"/>
  </si>
  <si>
    <t>FUR-183-01-0500</t>
    <phoneticPr fontId="1" type="noConversion"/>
  </si>
  <si>
    <t>FUR-183-01-0600</t>
    <phoneticPr fontId="1" type="noConversion"/>
  </si>
  <si>
    <t>FUR-183-01-0700</t>
    <phoneticPr fontId="1" type="noConversion"/>
  </si>
  <si>
    <t>FUR-183-01-0800</t>
    <phoneticPr fontId="1" type="noConversion"/>
  </si>
  <si>
    <t>FUR-183-01-0900</t>
    <phoneticPr fontId="1" type="noConversion"/>
  </si>
  <si>
    <t>FUR-183-01-1000</t>
    <phoneticPr fontId="1" type="noConversion"/>
  </si>
  <si>
    <t>- ISBN등록신청서를 관리한다.
문서번호, 도서명, 출판예정일, 저자개요, 저자정보, 도서정보, ISBN번호, 초록, 등록일, 전자원문</t>
    <phoneticPr fontId="1" type="noConversion"/>
  </si>
  <si>
    <t>- ISBN최종등록신청서를 관리한다.
문서번호, 도서명, 출판예정일, 저자개요, 저자정보, 도서정보, ISBN번호, 초록, 등록일,</t>
    <phoneticPr fontId="1" type="noConversion"/>
  </si>
  <si>
    <t>- ISBN번호통보서를 관리한다.
문서번호, 도서명, 출판예정일, 저자개요, 저자정보, 도서정보, ISBN번호, 초록, 등록일, 최종번호</t>
    <phoneticPr fontId="1" type="noConversion"/>
  </si>
  <si>
    <t>- ISBN평가등급을 관리한다.</t>
    <phoneticPr fontId="1" type="noConversion"/>
  </si>
  <si>
    <t>- ISBN을 관리한다.</t>
    <phoneticPr fontId="1" type="noConversion"/>
  </si>
  <si>
    <t>- ISBN 등록신청서리스트를 조회한다.</t>
    <phoneticPr fontId="1" type="noConversion"/>
  </si>
  <si>
    <t>- ISBN 최종등록신청서리스트를 조회한다.</t>
    <phoneticPr fontId="1" type="noConversion"/>
  </si>
  <si>
    <t>- ISBN 번호통보서리스트를 조회한다.</t>
    <phoneticPr fontId="1" type="noConversion"/>
  </si>
  <si>
    <t>- ISBN 리스트를 조회한다.</t>
    <phoneticPr fontId="1" type="noConversion"/>
  </si>
  <si>
    <t>FUR-184</t>
    <phoneticPr fontId="1" type="noConversion"/>
  </si>
  <si>
    <t>프로그램관리</t>
    <phoneticPr fontId="1" type="noConversion"/>
  </si>
  <si>
    <t>FUR-184-01-0100</t>
    <phoneticPr fontId="1" type="noConversion"/>
  </si>
  <si>
    <t>프로그램등록비지급신청서(전자결재)</t>
    <phoneticPr fontId="1" type="noConversion"/>
  </si>
  <si>
    <t>프로그램등록통보서(전자결재)</t>
    <phoneticPr fontId="1" type="noConversion"/>
  </si>
  <si>
    <t>프로그램 관리</t>
    <phoneticPr fontId="1" type="noConversion"/>
  </si>
  <si>
    <t>프로그램등록 조회</t>
    <phoneticPr fontId="1" type="noConversion"/>
  </si>
  <si>
    <t>프로그램처리현황 조회</t>
    <phoneticPr fontId="1" type="noConversion"/>
  </si>
  <si>
    <t>FUR-184-01-0200</t>
    <phoneticPr fontId="1" type="noConversion"/>
  </si>
  <si>
    <t>FUR-184-01-0300</t>
    <phoneticPr fontId="1" type="noConversion"/>
  </si>
  <si>
    <t>FUR-184-01-0400</t>
    <phoneticPr fontId="1" type="noConversion"/>
  </si>
  <si>
    <t>FUR-184-01-0500</t>
    <phoneticPr fontId="1" type="noConversion"/>
  </si>
  <si>
    <t>FUR-184-01-0600</t>
    <phoneticPr fontId="1" type="noConversion"/>
  </si>
  <si>
    <t>FUR-184-01-0700</t>
    <phoneticPr fontId="1" type="noConversion"/>
  </si>
  <si>
    <t>프로그램등록신청서(전자결재)</t>
    <phoneticPr fontId="1" type="noConversion"/>
  </si>
  <si>
    <t xml:space="preserve">- 프로그램등록신청서를 관리한다.
문서번호, 과제개요, 프로그램명, 창작년월, 주요내용, 등록번호, 종류, 양도증, 저작자개요, 저작자리스트 </t>
    <phoneticPr fontId="1" type="noConversion"/>
  </si>
  <si>
    <t xml:space="preserve">- 프로그램등록비지급신청서를 관리한다.
문서번호, 프로그램명 선택, 비용지급과제, 비용지급과메명, 프로그램명, 카드번호, 증빙,거래처, 은행, 금액 </t>
    <phoneticPr fontId="1" type="noConversion"/>
  </si>
  <si>
    <t>- 프로그램등록통보서를 관리한다.
문서번호, 과제개요, 프로그램명, 창작년월, 주요내용, 등록번호, 종류, 등록번호, 등록일자, 등록증, 저작자개요, 저작자리스트</t>
    <phoneticPr fontId="1" type="noConversion"/>
  </si>
  <si>
    <t>- 프로그램을 관리한다.</t>
    <phoneticPr fontId="1" type="noConversion"/>
  </si>
  <si>
    <t>- 등록된 프로그램을 조회한다.</t>
    <phoneticPr fontId="1" type="noConversion"/>
  </si>
  <si>
    <t>- 프로그램처리현황을 조회한다.</t>
    <phoneticPr fontId="1" type="noConversion"/>
  </si>
  <si>
    <t>FUR-185</t>
    <phoneticPr fontId="1" type="noConversion"/>
  </si>
  <si>
    <t>기술자문관리</t>
    <phoneticPr fontId="1" type="noConversion"/>
  </si>
  <si>
    <t>FUR-185-01-0100</t>
    <phoneticPr fontId="1" type="noConversion"/>
  </si>
  <si>
    <t>기술자문계약체결의뢰서(전자결재)</t>
    <phoneticPr fontId="1" type="noConversion"/>
  </si>
  <si>
    <t>기술자문계약체결승인신청서(전자결재)</t>
    <phoneticPr fontId="1" type="noConversion"/>
  </si>
  <si>
    <t>기술자문개시요청서(전자결재)</t>
    <phoneticPr fontId="1" type="noConversion"/>
  </si>
  <si>
    <t>기술자문인센티브지급신청서(전자결재)</t>
    <phoneticPr fontId="1" type="noConversion"/>
  </si>
  <si>
    <t>기술자문계약체결의뢰서 조회</t>
    <phoneticPr fontId="1" type="noConversion"/>
  </si>
  <si>
    <t>기술자문계약체결승인신청서 조회</t>
    <phoneticPr fontId="1" type="noConversion"/>
  </si>
  <si>
    <t>기술자문개시요청서 조회</t>
    <phoneticPr fontId="1" type="noConversion"/>
  </si>
  <si>
    <t>기술자문인센티브지급신청내역 조회</t>
    <phoneticPr fontId="1" type="noConversion"/>
  </si>
  <si>
    <t>기술자문리스트 조회</t>
    <phoneticPr fontId="1" type="noConversion"/>
  </si>
  <si>
    <t>기술자문 계약서 출력</t>
    <phoneticPr fontId="1" type="noConversion"/>
  </si>
  <si>
    <t>기술자문 행정처리 현황 조회</t>
    <phoneticPr fontId="1" type="noConversion"/>
  </si>
  <si>
    <t>FUR-185-01-0200</t>
    <phoneticPr fontId="1" type="noConversion"/>
  </si>
  <si>
    <t>FUR-185-01-0300</t>
    <phoneticPr fontId="1" type="noConversion"/>
  </si>
  <si>
    <t>FUR-185-01-0400</t>
    <phoneticPr fontId="1" type="noConversion"/>
  </si>
  <si>
    <t>FUR-185-01-0500</t>
    <phoneticPr fontId="1" type="noConversion"/>
  </si>
  <si>
    <t>FUR-185-01-0600</t>
    <phoneticPr fontId="1" type="noConversion"/>
  </si>
  <si>
    <t>FUR-185-01-0700</t>
    <phoneticPr fontId="1" type="noConversion"/>
  </si>
  <si>
    <t>FUR-185-01-0800</t>
    <phoneticPr fontId="1" type="noConversion"/>
  </si>
  <si>
    <t>FUR-185-01-0900</t>
    <phoneticPr fontId="1" type="noConversion"/>
  </si>
  <si>
    <t>FUR-185-01-1000</t>
    <phoneticPr fontId="1" type="noConversion"/>
  </si>
  <si>
    <t>FUR-185-01-1100</t>
    <phoneticPr fontId="1" type="noConversion"/>
  </si>
  <si>
    <t>FUR-185-01-1200</t>
    <phoneticPr fontId="1" type="noConversion"/>
  </si>
  <si>
    <t>FUR-185-01-1300</t>
    <phoneticPr fontId="1" type="noConversion"/>
  </si>
  <si>
    <t>- 기술자문개시요청서를 관리한다.</t>
    <phoneticPr fontId="1" type="noConversion"/>
  </si>
  <si>
    <t>- 기술자문계약체결승인신청서를 관리한다.
문서번호, 계약체결의뢰서 항목일체, 산업체공문, 기술자문신청서, 의뢰석, 계획검토서, 계약서</t>
    <phoneticPr fontId="1" type="noConversion"/>
  </si>
  <si>
    <t>- 기술자문계약체결의뢰서를 관리한다.
문서번호, 기술자문계약구분, 자문명, 자문기간, 자분비, 자문참여자, 기술자문신청자정보, 기술자문일정, 참여자, 계획검토서</t>
    <phoneticPr fontId="1" type="noConversion"/>
  </si>
  <si>
    <t>- 기술자문인센티브지급신청서를 관리한다.
문서번호, 기술자문신청 정보, 기술자문 징수현황, 사용현황, 참여자 인센티브 리스트</t>
    <phoneticPr fontId="1" type="noConversion"/>
  </si>
  <si>
    <t>- 기술자문을 관리한다.
기술자문 관련 신청서 모든 항목 표기, 담당자 검토 및 관리기능</t>
    <phoneticPr fontId="1" type="noConversion"/>
  </si>
  <si>
    <t>- 기술자문계약체결의뢰서를 조회한다.</t>
    <phoneticPr fontId="1" type="noConversion"/>
  </si>
  <si>
    <t>- 기술자문계약체결승인신청서를 조회한다.</t>
    <phoneticPr fontId="1" type="noConversion"/>
  </si>
  <si>
    <t>- 기술자문개시요청서를 조회한다.</t>
    <phoneticPr fontId="1" type="noConversion"/>
  </si>
  <si>
    <t>- 기술자문인센티브지급신청내역을 조회한다.</t>
    <phoneticPr fontId="1" type="noConversion"/>
  </si>
  <si>
    <t>- 기술자문리스트를 조회한다.</t>
    <phoneticPr fontId="1" type="noConversion"/>
  </si>
  <si>
    <t>- 기술자문계약서 출력기능을 제공한다.</t>
    <phoneticPr fontId="1" type="noConversion"/>
  </si>
  <si>
    <t>- 기술자문 행정처리현황을 조회한다.</t>
    <phoneticPr fontId="1" type="noConversion"/>
  </si>
  <si>
    <t>FUR-186</t>
    <phoneticPr fontId="1" type="noConversion"/>
  </si>
  <si>
    <t>기술이전관리</t>
    <phoneticPr fontId="1" type="noConversion"/>
  </si>
  <si>
    <t>FUR-186-01-0100</t>
    <phoneticPr fontId="1" type="noConversion"/>
  </si>
  <si>
    <t>기술의전의뢰서(전자결재)</t>
    <phoneticPr fontId="1" type="noConversion"/>
  </si>
  <si>
    <t>기술이전계약체결승인신청서(전자결재)</t>
    <phoneticPr fontId="1" type="noConversion"/>
  </si>
  <si>
    <t>기술이전개시요청서(전자결재)</t>
    <phoneticPr fontId="1" type="noConversion"/>
  </si>
  <si>
    <t>기술이전완료확인신청서(전자결재)</t>
    <phoneticPr fontId="1" type="noConversion"/>
  </si>
  <si>
    <t>기술이전인센티브지급신청서(전자결재)</t>
    <phoneticPr fontId="1" type="noConversion"/>
  </si>
  <si>
    <t>본부심의결과통보서(전자결재)</t>
    <phoneticPr fontId="1" type="noConversion"/>
  </si>
  <si>
    <t>기술이전 관리</t>
    <phoneticPr fontId="1" type="noConversion"/>
  </si>
  <si>
    <t>기술이전의뢰서 조회</t>
    <phoneticPr fontId="1" type="noConversion"/>
  </si>
  <si>
    <t>기술이전계약체결승인신청리스트 조회</t>
    <phoneticPr fontId="1" type="noConversion"/>
  </si>
  <si>
    <t>기술이전개시요청리스트 조회</t>
    <phoneticPr fontId="1" type="noConversion"/>
  </si>
  <si>
    <t>기술이전완료확인신청리스트 조회</t>
    <phoneticPr fontId="1" type="noConversion"/>
  </si>
  <si>
    <t>기술이전인센티브지급내역 조회</t>
    <phoneticPr fontId="1" type="noConversion"/>
  </si>
  <si>
    <t>본부심의결과통보서리스트 조회</t>
    <phoneticPr fontId="1" type="noConversion"/>
  </si>
  <si>
    <t>기술이전리스트 조회</t>
    <phoneticPr fontId="1" type="noConversion"/>
  </si>
  <si>
    <t>기술이전 행정처리 현황 조회</t>
    <phoneticPr fontId="1" type="noConversion"/>
  </si>
  <si>
    <t>FUR-186-01-0200</t>
    <phoneticPr fontId="1" type="noConversion"/>
  </si>
  <si>
    <t>FUR-186-01-0300</t>
    <phoneticPr fontId="1" type="noConversion"/>
  </si>
  <si>
    <t>FUR-186-01-0400</t>
    <phoneticPr fontId="1" type="noConversion"/>
  </si>
  <si>
    <t>FUR-186-01-0500</t>
    <phoneticPr fontId="1" type="noConversion"/>
  </si>
  <si>
    <t>FUR-186-01-0600</t>
    <phoneticPr fontId="1" type="noConversion"/>
  </si>
  <si>
    <t>FUR-186-01-0700</t>
    <phoneticPr fontId="1" type="noConversion"/>
  </si>
  <si>
    <t>FUR-186-01-0800</t>
    <phoneticPr fontId="1" type="noConversion"/>
  </si>
  <si>
    <t>FUR-186-01-0900</t>
    <phoneticPr fontId="1" type="noConversion"/>
  </si>
  <si>
    <t>FUR-186-01-1000</t>
    <phoneticPr fontId="1" type="noConversion"/>
  </si>
  <si>
    <t>FUR-186-01-1100</t>
    <phoneticPr fontId="1" type="noConversion"/>
  </si>
  <si>
    <t>FUR-186-01-1200</t>
    <phoneticPr fontId="1" type="noConversion"/>
  </si>
  <si>
    <t>FUR-186-01-1300</t>
    <phoneticPr fontId="1" type="noConversion"/>
  </si>
  <si>
    <t>FUR-186-01-1400</t>
    <phoneticPr fontId="1" type="noConversion"/>
  </si>
  <si>
    <t>FUR-186-01-1500</t>
    <phoneticPr fontId="1" type="noConversion"/>
  </si>
  <si>
    <t>FUR-186-01-1600</t>
    <phoneticPr fontId="1" type="noConversion"/>
  </si>
  <si>
    <t>- 기술이전의뢰서를 관리한다.
문서번호, 기술이전명, 기술이전유발과제, 관련지식재산권, 기술실시에정자, 기술이전계획내용, 기여자, 참여자, 이전조건</t>
    <phoneticPr fontId="1" type="noConversion"/>
  </si>
  <si>
    <t>- 기술이전계약체결승인신청서를 관리한다.</t>
    <phoneticPr fontId="1" type="noConversion"/>
  </si>
  <si>
    <t>- 기술이전개시요청서를 관리한다.</t>
    <phoneticPr fontId="1" type="noConversion"/>
  </si>
  <si>
    <t>- 기술이전완료확인신청서를 관리한다.</t>
    <phoneticPr fontId="1" type="noConversion"/>
  </si>
  <si>
    <t>- 기술이전인센티브지급신청서를 관리한다.
문서번호, 기술이전신청 정보, 참여자 인센티브 리스트</t>
    <phoneticPr fontId="1" type="noConversion"/>
  </si>
  <si>
    <t>- 본부심의결과통보서를 관리한다.
문선버호, 기술이전신청정보, 심의결과, 최종결과</t>
    <phoneticPr fontId="1" type="noConversion"/>
  </si>
  <si>
    <t>- 기술이전을 관리한다.
기술자문 관련 신청서 모든 항목 표기, 담당자 검토 및 관리기능</t>
    <phoneticPr fontId="1" type="noConversion"/>
  </si>
  <si>
    <t>- 기술이전의뢰서를 조회한다.</t>
    <phoneticPr fontId="1" type="noConversion"/>
  </si>
  <si>
    <t>- 기술이전계약체결승인신청리스트를 조회한다.</t>
    <phoneticPr fontId="1" type="noConversion"/>
  </si>
  <si>
    <t>- 기술이전개시요청리스트를 조회한다.</t>
    <phoneticPr fontId="1" type="noConversion"/>
  </si>
  <si>
    <t>- 기술이전완료확인신청서리스트를 조회한다.</t>
    <phoneticPr fontId="1" type="noConversion"/>
  </si>
  <si>
    <t>- 기술이전인센티브 지급내역을 조회한다.</t>
    <phoneticPr fontId="1" type="noConversion"/>
  </si>
  <si>
    <t>- 본부심의결과통보서리스트를 조회한다.</t>
    <phoneticPr fontId="1" type="noConversion"/>
  </si>
  <si>
    <t>- 기술이전리스트를 조회한다.</t>
    <phoneticPr fontId="1" type="noConversion"/>
  </si>
  <si>
    <t>- 기술이전행정처리현황을 조회한다.</t>
    <phoneticPr fontId="1" type="noConversion"/>
  </si>
  <si>
    <t>FUR-187</t>
    <phoneticPr fontId="1" type="noConversion"/>
  </si>
  <si>
    <t>연구실적집계 관리</t>
    <phoneticPr fontId="1" type="noConversion"/>
  </si>
  <si>
    <t>FUR-187-01-0100</t>
    <phoneticPr fontId="1" type="noConversion"/>
  </si>
  <si>
    <t>연구실적 항목</t>
    <phoneticPr fontId="1" type="noConversion"/>
  </si>
  <si>
    <t>연구실적집계</t>
    <phoneticPr fontId="1" type="noConversion"/>
  </si>
  <si>
    <t>개인별 연구실적조회</t>
    <phoneticPr fontId="1" type="noConversion"/>
  </si>
  <si>
    <t>학술지IF 관리</t>
    <phoneticPr fontId="1" type="noConversion"/>
  </si>
  <si>
    <t>(KISTI홈페이지) 성과확산플랫폼 연계용 연구실적 데이터 관리</t>
    <phoneticPr fontId="1" type="noConversion"/>
  </si>
  <si>
    <t>FUR-187-01-0200</t>
    <phoneticPr fontId="1" type="noConversion"/>
  </si>
  <si>
    <t>FUR-187-01-0300</t>
    <phoneticPr fontId="1" type="noConversion"/>
  </si>
  <si>
    <t>FUR-187-01-0400</t>
    <phoneticPr fontId="1" type="noConversion"/>
  </si>
  <si>
    <t>FUR-187-01-0500</t>
    <phoneticPr fontId="1" type="noConversion"/>
  </si>
  <si>
    <t>- 연구실적항목을 관리한다.
(학술게재, 학회발표, 문헌등록, 프로그램, 특허출원, 특허등록, 기술이전) 별 입력, 수정, 삭제, 조회, 엑셀다운, 첨부파일 기능</t>
    <phoneticPr fontId="1" type="noConversion"/>
  </si>
  <si>
    <t>- 연구실적집계를 관리한다.
연구성과 각 항목별 건수 및 점수 산정</t>
    <phoneticPr fontId="1" type="noConversion"/>
  </si>
  <si>
    <t>- 개인별 연구실적을 관리한다.
학술게재, 학회발표, 문헌등록, 프로그램, 특허출원, 특허등록, 기술이전, ISBN/ISSN</t>
    <phoneticPr fontId="1" type="noConversion"/>
  </si>
  <si>
    <t>- 학술지IF를 관리한다.</t>
    <phoneticPr fontId="1" type="noConversion"/>
  </si>
  <si>
    <t>- 성과확산플랫폼 연계용 연구실적 데이터를 관리한다.
개인별 연구실적(논문, 특허, 기술이전, 연구보고서, 국제표준, 단행본/발표자료, 원문) 생성 및 공개 확정 기능</t>
    <phoneticPr fontId="1" type="noConversion"/>
  </si>
  <si>
    <t>작성</t>
    <phoneticPr fontId="1" type="noConversion"/>
  </si>
  <si>
    <t>요구사항정의서(성과)</t>
    <phoneticPr fontId="1" type="noConversion"/>
  </si>
  <si>
    <t xml:space="preserve">한국과학기술정보연구원 
KISTI 스마트워크시스템 개편 </t>
    <phoneticPr fontId="1" type="noConversion"/>
  </si>
  <si>
    <t>관리부서: KISTI 스마트워크시스템 개편 사업 수행팀</t>
    <phoneticPr fontId="1" type="noConversion"/>
  </si>
  <si>
    <t>2022.11.04</t>
    <phoneticPr fontId="1" type="noConversion"/>
  </si>
  <si>
    <t>요구사항정의서 작성법</t>
    <phoneticPr fontId="1" type="noConversion"/>
  </si>
  <si>
    <t>항목명</t>
    <phoneticPr fontId="1" type="noConversion"/>
  </si>
  <si>
    <t>작성방법</t>
    <phoneticPr fontId="1" type="noConversion"/>
  </si>
  <si>
    <t>단위시스템 코드'에 1부터 시작하는 일련번호를 부여함.</t>
    <phoneticPr fontId="1" type="noConversion"/>
  </si>
  <si>
    <t>단위시스템</t>
    <phoneticPr fontId="1" type="noConversion"/>
  </si>
  <si>
    <t>전체 시스템에 포함되는 단위시스템</t>
    <phoneticPr fontId="1" type="noConversion"/>
  </si>
  <si>
    <t>단위업무</t>
    <phoneticPr fontId="1" type="noConversion"/>
  </si>
  <si>
    <t>단위시스템을 구성하는 단위업무(또는 주메뉴명)</t>
    <phoneticPr fontId="1" type="noConversion"/>
  </si>
  <si>
    <t>요구사항 고유번호(RFP)</t>
    <phoneticPr fontId="1" type="noConversion"/>
  </si>
  <si>
    <t>제안요청서의 요구사항 고유번호를 기입한다.</t>
    <phoneticPr fontId="1" type="noConversion"/>
  </si>
  <si>
    <t>변경구분</t>
    <phoneticPr fontId="1" type="noConversion"/>
  </si>
  <si>
    <r>
      <t>요구사항이 '추가/이관추가/변경/삭제/이관삭제' 되었음을 구분한다. 
한 단위시스템(또는 단위업무)에서 다른 단위시스템(또는 단위업무)로 요구사항 항목이 이관되어 이관추가 및 이관삭제가 발생한 경우는
요구사항을 이관하여 받은 곳은</t>
    </r>
    <r>
      <rPr>
        <b/>
        <sz val="10"/>
        <color rgb="FF00B0F0"/>
        <rFont val="맑은 고딕"/>
        <family val="3"/>
        <charset val="129"/>
        <scheme val="minor"/>
      </rPr>
      <t xml:space="preserve"> '이관추가' </t>
    </r>
    <r>
      <rPr>
        <sz val="10"/>
        <rFont val="맑은 고딕"/>
        <family val="3"/>
        <charset val="129"/>
        <scheme val="minor"/>
      </rPr>
      <t xml:space="preserve">로, 요구사항을 이관시켜 없앤 곳에는 </t>
    </r>
    <r>
      <rPr>
        <b/>
        <sz val="10"/>
        <color rgb="FF00B0F0"/>
        <rFont val="맑은 고딕"/>
        <family val="3"/>
        <charset val="129"/>
        <scheme val="minor"/>
      </rPr>
      <t>'이관삭제'</t>
    </r>
    <r>
      <rPr>
        <sz val="10"/>
        <color theme="1"/>
        <rFont val="맑은 고딕"/>
        <family val="2"/>
        <charset val="129"/>
        <scheme val="minor"/>
      </rPr>
      <t>로 표기합니다. (이관삭제와 이관추가의 개수는 동일해야 함.)</t>
    </r>
    <phoneticPr fontId="1" type="noConversion"/>
  </si>
  <si>
    <t>출처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</si>
  <si>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요구사항의 발생근원</t>
    </r>
    <r>
      <rPr>
        <sz val="10"/>
        <color theme="1"/>
        <rFont val="맑은 고딕"/>
        <family val="2"/>
        <charset val="129"/>
        <scheme val="minor"/>
      </rPr>
      <t xml:space="preserve">으로 제안요청서, 기술협상서, 관련 회의록 또는 면담결과서 등을 기록함. 
</t>
    </r>
    <r>
      <rPr>
        <sz val="10"/>
        <color rgb="FFFF0000"/>
        <rFont val="맑은 고딕"/>
        <family val="3"/>
        <charset val="129"/>
        <scheme val="minor"/>
      </rPr>
      <t>(요구사항 생성 이후 변경/삭제/이관추가/이관삭제 관련 근거는 제약사항에 기록함.)</t>
    </r>
    <phoneticPr fontId="1" type="noConversion"/>
  </si>
  <si>
    <t>요구사항 명칭(RFP)</t>
    <phoneticPr fontId="1" type="noConversion"/>
  </si>
  <si>
    <t>제안요청서의 요구사항 명칭을 기입한다.</t>
    <phoneticPr fontId="1" type="noConversion"/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</si>
  <si>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 고유번호</t>
    </r>
    <r>
      <rPr>
        <sz val="10"/>
        <color theme="1"/>
        <rFont val="맑은 고딕"/>
        <family val="2"/>
        <charset val="129"/>
        <scheme val="minor"/>
      </rPr>
      <t>에 두자리의 일련번호를 부여하면서 제안요청서의 요구사항을 세분화한다. (제안요청서의 요구사항 항목내용을 분할하여 ID를 부여함.)</t>
    </r>
    <phoneticPr fontId="1" type="noConversion"/>
  </si>
  <si>
    <t>요구사항정의명</t>
    <phoneticPr fontId="1" type="noConversion"/>
  </si>
  <si>
    <t>분할된 요구사항에 대한 명칭을 간결하게 부여한다. (서술형으로 표기하지 말 것)</t>
    <phoneticPr fontId="1" type="noConversion"/>
  </si>
  <si>
    <t>요구사항정의 내용</t>
    <phoneticPr fontId="1" type="noConversion"/>
  </si>
  <si>
    <t>요구사항정의 내용</t>
    <phoneticPr fontId="1" type="noConversion"/>
  </si>
  <si>
    <r>
      <rPr>
        <b/>
        <sz val="10"/>
        <color rgb="FF00B0F0"/>
        <rFont val="맑은 고딕"/>
        <family val="3"/>
        <charset val="129"/>
        <scheme val="minor"/>
      </rPr>
      <t>경영진, 업무 담당자, 평가자, 내부 임직원, 계약직, 외국인, 시스템관리자</t>
    </r>
    <r>
      <rPr>
        <sz val="10"/>
        <color rgb="FF00B0F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 관련 요구사항정의내용과 관련된 사용권한자를 명시한다.</t>
    </r>
    <phoneticPr fontId="1" type="noConversion"/>
  </si>
  <si>
    <t>요구사항정의 내용을 해결하기 위한 방안을 기술한다.</t>
    <phoneticPr fontId="1" type="noConversion"/>
  </si>
  <si>
    <t>수용여부</t>
  </si>
  <si>
    <r>
      <t xml:space="preserve">해당 요구사항을 구현하기로 최종 </t>
    </r>
    <r>
      <rPr>
        <b/>
        <sz val="10"/>
        <color rgb="FF00B0F0"/>
        <rFont val="맑은 고딕"/>
        <family val="3"/>
        <charset val="129"/>
        <scheme val="minor"/>
      </rPr>
      <t>'수용/미수용'</t>
    </r>
    <r>
      <rPr>
        <sz val="10"/>
        <color theme="1"/>
        <rFont val="맑은 고딕"/>
        <family val="2"/>
        <charset val="129"/>
        <scheme val="minor"/>
      </rPr>
      <t xml:space="preserve"> 결정여부를 기록한다. 협의가 되지 않아 미결 상태인 경우 </t>
    </r>
    <r>
      <rPr>
        <b/>
        <sz val="10"/>
        <color rgb="FF00B0F0"/>
        <rFont val="맑은 고딕"/>
        <family val="3"/>
        <charset val="129"/>
        <scheme val="minor"/>
      </rPr>
      <t>'미결'</t>
    </r>
    <r>
      <rPr>
        <sz val="10"/>
        <color theme="1"/>
        <rFont val="맑은 고딕"/>
        <family val="2"/>
        <charset val="129"/>
        <scheme val="minor"/>
      </rPr>
      <t xml:space="preserve">로 작성함. 
</t>
    </r>
    <r>
      <rPr>
        <sz val="10"/>
        <color rgb="FFFF0000"/>
        <rFont val="맑은 고딕"/>
        <family val="3"/>
        <charset val="129"/>
        <scheme val="minor"/>
      </rPr>
      <t>(삭제 또는 이관삭제로 '미수용'의 경우 관련 근거에 해당하는 내용 또는 근거를 제약사항에 작성할 것)</t>
    </r>
    <phoneticPr fontId="1" type="noConversion"/>
  </si>
  <si>
    <t>제약사항</t>
  </si>
  <si>
    <t>수용여부의 미수용 및 변경구분의 변경/삭제/이관추가/이관변경 관련 근거에 해당하는 내용 또는 근거 파일을 명시함.</t>
    <phoneticPr fontId="1" type="noConversion"/>
  </si>
  <si>
    <t>일련
번호</t>
    <phoneticPr fontId="1" type="noConversion"/>
  </si>
  <si>
    <t>단위시스템</t>
    <phoneticPr fontId="1" type="noConversion"/>
  </si>
  <si>
    <t>단위업무</t>
    <phoneticPr fontId="1" type="noConversion"/>
  </si>
  <si>
    <t>요구사항 고유번호
(RFP)</t>
    <phoneticPr fontId="1" type="noConversion"/>
  </si>
  <si>
    <t>변경구분</t>
    <phoneticPr fontId="1" type="noConversion"/>
  </si>
  <si>
    <t>출처</t>
    <phoneticPr fontId="1" type="noConversion"/>
  </si>
  <si>
    <t>요구사항 명칭
(RFP)</t>
    <phoneticPr fontId="1" type="noConversion"/>
  </si>
  <si>
    <t>요구사항정의ID</t>
    <phoneticPr fontId="1" type="noConversion"/>
  </si>
  <si>
    <t>연계대상</t>
    <phoneticPr fontId="1" type="noConversion"/>
  </si>
  <si>
    <t>사용권한</t>
    <phoneticPr fontId="1" type="noConversion"/>
  </si>
  <si>
    <t>요구사항 해결방안</t>
    <phoneticPr fontId="1" type="noConversion"/>
  </si>
  <si>
    <t>중요도</t>
    <phoneticPr fontId="1" type="noConversion"/>
  </si>
  <si>
    <t>관련부서</t>
    <phoneticPr fontId="1" type="noConversion"/>
  </si>
  <si>
    <t>부서담당자</t>
    <phoneticPr fontId="1" type="noConversion"/>
  </si>
  <si>
    <t>수용여부</t>
    <phoneticPr fontId="1" type="noConversion"/>
  </si>
  <si>
    <t>제약사항</t>
    <phoneticPr fontId="1" type="noConversion"/>
  </si>
  <si>
    <t>제안요청서</t>
    <phoneticPr fontId="1" type="noConversion"/>
  </si>
  <si>
    <t>사업명:</t>
    <phoneticPr fontId="1" type="noConversion"/>
  </si>
  <si>
    <t>KISTI 스마크워크시스템 개편</t>
    <phoneticPr fontId="1" type="noConversion"/>
  </si>
  <si>
    <t>기능요구사항 분석현황</t>
    <phoneticPr fontId="1" type="noConversion"/>
  </si>
  <si>
    <t>요구사항 변경현황</t>
  </si>
  <si>
    <t>구분</t>
  </si>
  <si>
    <t>개수</t>
  </si>
  <si>
    <t>추가</t>
  </si>
  <si>
    <t>이관추가</t>
  </si>
  <si>
    <t>변경</t>
  </si>
  <si>
    <t>삭제</t>
  </si>
  <si>
    <t>이관삭제</t>
  </si>
  <si>
    <t>누계</t>
  </si>
  <si>
    <t xml:space="preserve"> 요구사항 중요도 현황</t>
  </si>
  <si>
    <t>상</t>
  </si>
  <si>
    <t>중</t>
  </si>
  <si>
    <t>하</t>
  </si>
  <si>
    <t>요구사항 수용현황</t>
  </si>
  <si>
    <t>수용</t>
  </si>
  <si>
    <t>미수용</t>
  </si>
  <si>
    <t>미결</t>
  </si>
  <si>
    <t>중</t>
    <phoneticPr fontId="1" type="noConversion"/>
  </si>
  <si>
    <t>중</t>
    <phoneticPr fontId="1" type="noConversion"/>
  </si>
  <si>
    <t>하</t>
    <phoneticPr fontId="1" type="noConversion"/>
  </si>
  <si>
    <t>상</t>
    <phoneticPr fontId="1" type="noConversion"/>
  </si>
  <si>
    <t>성과확산실</t>
    <phoneticPr fontId="1" type="noConversion"/>
  </si>
  <si>
    <t>업무담당자</t>
    <phoneticPr fontId="1" type="noConversion"/>
  </si>
  <si>
    <t>연구부서</t>
    <phoneticPr fontId="1" type="noConversion"/>
  </si>
  <si>
    <t>삭제</t>
    <phoneticPr fontId="1" type="noConversion"/>
  </si>
  <si>
    <t>수용</t>
    <phoneticPr fontId="1" type="noConversion"/>
  </si>
  <si>
    <t>성과확산실</t>
    <phoneticPr fontId="1" type="noConversion"/>
  </si>
  <si>
    <t>미수용</t>
    <phoneticPr fontId="1" type="noConversion"/>
  </si>
  <si>
    <t>OTC-1</t>
    <phoneticPr fontId="1" type="noConversion"/>
  </si>
  <si>
    <t>OTC-2</t>
  </si>
  <si>
    <t>OTC-3</t>
  </si>
  <si>
    <t>OTC-4</t>
  </si>
  <si>
    <t>OTC-5</t>
  </si>
  <si>
    <t>OTC-6</t>
  </si>
  <si>
    <t>OTC-7</t>
  </si>
  <si>
    <t>OTC-8</t>
  </si>
  <si>
    <t>OTC-9</t>
  </si>
  <si>
    <t>OTC-10</t>
  </si>
  <si>
    <t>OTC-11</t>
  </si>
  <si>
    <t>OTC-12</t>
  </si>
  <si>
    <t>OTC-13</t>
  </si>
  <si>
    <t>OTC-14</t>
  </si>
  <si>
    <t>OTC-15</t>
  </si>
  <si>
    <t>OTC-16</t>
  </si>
  <si>
    <t>OTC-17</t>
  </si>
  <si>
    <t>OTC-18</t>
  </si>
  <si>
    <t>OTC-19</t>
  </si>
  <si>
    <t>OTC-20</t>
  </si>
  <si>
    <t>OTC-21</t>
  </si>
  <si>
    <t>OTC-22</t>
  </si>
  <si>
    <t>OTC-23</t>
  </si>
  <si>
    <t>OTC-24</t>
  </si>
  <si>
    <t>OTC-25</t>
  </si>
  <si>
    <t>OTC-26</t>
  </si>
  <si>
    <t>OTC-27</t>
  </si>
  <si>
    <t>OTC-28</t>
  </si>
  <si>
    <t>OTC-29</t>
  </si>
  <si>
    <t>OTC-30</t>
  </si>
  <si>
    <t>OTC-31</t>
  </si>
  <si>
    <t>OTC-32</t>
  </si>
  <si>
    <t>OTC-33</t>
  </si>
  <si>
    <t>OTC-34</t>
  </si>
  <si>
    <t>OTC-35</t>
  </si>
  <si>
    <t>OTC-36</t>
  </si>
  <si>
    <t>OTC-37</t>
  </si>
  <si>
    <t>OTC-38</t>
  </si>
  <si>
    <t>OTC-39</t>
  </si>
  <si>
    <t>OTC-40</t>
  </si>
  <si>
    <t>OTC-41</t>
  </si>
  <si>
    <t>OTC-42</t>
  </si>
  <si>
    <t>OTC-43</t>
  </si>
  <si>
    <t>OTC-44</t>
  </si>
  <si>
    <t>OTC-45</t>
  </si>
  <si>
    <t>OTC-46</t>
  </si>
  <si>
    <t>OTC-47</t>
  </si>
  <si>
    <t>OTC-48</t>
  </si>
  <si>
    <t>OTC-49</t>
  </si>
  <si>
    <t>OTC-50</t>
  </si>
  <si>
    <t>OTC-51</t>
  </si>
  <si>
    <t>OTC-52</t>
  </si>
  <si>
    <t>OTC-53</t>
  </si>
  <si>
    <t>OTC-54</t>
  </si>
  <si>
    <t>OTC-55</t>
  </si>
  <si>
    <t>OTC-56</t>
  </si>
  <si>
    <t>OTC-57</t>
  </si>
  <si>
    <t>OTC-58</t>
  </si>
  <si>
    <t>OTC-59</t>
  </si>
  <si>
    <t>OTC-60</t>
  </si>
  <si>
    <t>OTC-61</t>
  </si>
  <si>
    <t>OTC-62</t>
  </si>
  <si>
    <t>OTC-63</t>
  </si>
  <si>
    <t>OTC-64</t>
  </si>
  <si>
    <t>OTC-65</t>
  </si>
  <si>
    <t>OTC-66</t>
  </si>
  <si>
    <t>OTC-67</t>
  </si>
  <si>
    <t>OTC-68</t>
  </si>
  <si>
    <t>OTC-69</t>
  </si>
  <si>
    <t>OTC-70</t>
  </si>
  <si>
    <t>OTC-71</t>
  </si>
  <si>
    <t>OTC-72</t>
  </si>
  <si>
    <t>OTC-73</t>
  </si>
  <si>
    <t>OTC-74</t>
  </si>
  <si>
    <t>OTC-75</t>
  </si>
  <si>
    <t>OTC-76</t>
  </si>
  <si>
    <t>OTC-77</t>
  </si>
  <si>
    <t>OTC-78</t>
  </si>
  <si>
    <t>OTC-79</t>
  </si>
  <si>
    <t>OTC-80</t>
  </si>
  <si>
    <t>OTC-81</t>
  </si>
  <si>
    <t>OTC-82</t>
  </si>
  <si>
    <t>OTC-83</t>
  </si>
  <si>
    <t>OTC-84</t>
  </si>
  <si>
    <t>OTC-85</t>
  </si>
  <si>
    <t>OTC-86</t>
  </si>
  <si>
    <t>OTC-87</t>
  </si>
  <si>
    <t>OTC-88</t>
  </si>
  <si>
    <t>OTC-89</t>
  </si>
  <si>
    <t>연구관리시스템</t>
    <phoneticPr fontId="1" type="noConversion"/>
  </si>
  <si>
    <t>요구사항 수용여부 반영</t>
    <phoneticPr fontId="1" type="noConversion"/>
  </si>
  <si>
    <t>선행기술조사관리</t>
    <phoneticPr fontId="1" type="noConversion"/>
  </si>
  <si>
    <t>선행기술조사통보 프로세스에서 삭제</t>
    <phoneticPr fontId="1" type="noConversion"/>
  </si>
  <si>
    <t>2023.02.02</t>
    <phoneticPr fontId="1" type="noConversion"/>
  </si>
  <si>
    <t>수정</t>
    <phoneticPr fontId="1" type="noConversion"/>
  </si>
  <si>
    <t>2023.02.06</t>
    <phoneticPr fontId="1" type="noConversion"/>
  </si>
  <si>
    <t>검토</t>
    <phoneticPr fontId="1" type="noConversion"/>
  </si>
  <si>
    <t>요구사항 확정 베이스라인 설정</t>
    <phoneticPr fontId="1" type="noConversion"/>
  </si>
  <si>
    <t>원장희</t>
    <phoneticPr fontId="1" type="noConversion"/>
  </si>
  <si>
    <t>0.2</t>
    <phoneticPr fontId="1" type="noConversion"/>
  </si>
  <si>
    <t>0.3</t>
    <phoneticPr fontId="1" type="noConversion"/>
  </si>
  <si>
    <t>1.0</t>
    <phoneticPr fontId="1" type="noConversion"/>
  </si>
  <si>
    <t>1.1</t>
    <phoneticPr fontId="1" type="noConversion"/>
  </si>
  <si>
    <t>2023.04.03</t>
    <phoneticPr fontId="1" type="noConversion"/>
  </si>
  <si>
    <t>수정</t>
    <phoneticPr fontId="1" type="noConversion"/>
  </si>
  <si>
    <t>내용 수정</t>
    <phoneticPr fontId="1" type="noConversion"/>
  </si>
  <si>
    <t>원장희</t>
    <phoneticPr fontId="1" type="noConversion"/>
  </si>
  <si>
    <t>일반사용자</t>
    <phoneticPr fontId="1" type="noConversion"/>
  </si>
  <si>
    <t>일반사용자</t>
    <phoneticPr fontId="1" type="noConversion"/>
  </si>
  <si>
    <t>업무담당자</t>
    <phoneticPr fontId="1" type="noConversion"/>
  </si>
  <si>
    <t>선행기술조사통보는 프로세스에서 삭제됨(22KST2(N)_10_RA22_면담결과서_PMS_성과관리(230201)_v0.1.hwp</t>
    <phoneticPr fontId="1" type="noConversion"/>
  </si>
  <si>
    <t>ISBN 리스트조회</t>
    <phoneticPr fontId="1" type="noConversion"/>
  </si>
  <si>
    <t>FUR-183-01-0300</t>
    <phoneticPr fontId="1" type="noConversion"/>
  </si>
  <si>
    <t>학술지조회(학술지기준)</t>
    <phoneticPr fontId="71" type="noConversion"/>
  </si>
  <si>
    <t>학술지조회(저자기준)</t>
    <phoneticPr fontId="71" type="noConversion"/>
  </si>
  <si>
    <t>학회발표조회(학회발표기준)</t>
    <phoneticPr fontId="71" type="noConversion"/>
  </si>
  <si>
    <t>학회발표조회(발표자기준)</t>
    <phoneticPr fontId="71" type="noConversion"/>
  </si>
  <si>
    <t xml:space="preserve">ISBN/ISSN조회
(저자기준)
</t>
    <phoneticPr fontId="71" type="noConversion"/>
  </si>
  <si>
    <t>OTC-90</t>
  </si>
  <si>
    <t>OTC-91</t>
  </si>
  <si>
    <t>OTC-92</t>
  </si>
  <si>
    <t>OTC-93</t>
  </si>
  <si>
    <t>OTC-94</t>
  </si>
  <si>
    <t>OTC-95</t>
  </si>
  <si>
    <t>OTC-96</t>
  </si>
  <si>
    <t>OTC-97</t>
  </si>
  <si>
    <t>OTC-98</t>
  </si>
  <si>
    <t>추가</t>
    <phoneticPr fontId="1" type="noConversion"/>
  </si>
  <si>
    <t>학술지통보(전자결재)</t>
    <phoneticPr fontId="71" type="noConversion"/>
  </si>
  <si>
    <t>학회발표통보(전자결재)</t>
    <phoneticPr fontId="71" type="noConversion"/>
  </si>
  <si>
    <t>- 학술지(저자기준)을 조회한다.</t>
    <phoneticPr fontId="1" type="noConversion"/>
  </si>
  <si>
    <t>기술자문완료확인신청서(전자결재)</t>
    <phoneticPr fontId="71" type="noConversion"/>
  </si>
  <si>
    <t>- 학회발표(학회발표기준)을 조회한다.</t>
    <phoneticPr fontId="1" type="noConversion"/>
  </si>
  <si>
    <t>- 학회발표(발표자기준)을 조회한다.</t>
    <phoneticPr fontId="1" type="noConversion"/>
  </si>
  <si>
    <t>ISBN/ISSN조회(발간물기준)</t>
    <phoneticPr fontId="71" type="noConversion"/>
  </si>
  <si>
    <t>- ISBN/ISSN(발간물기준)을 조회한다.</t>
    <phoneticPr fontId="1" type="noConversion"/>
  </si>
  <si>
    <t>- ISBN/ISSN(저자기준)을 조회한다.</t>
    <phoneticPr fontId="1" type="noConversion"/>
  </si>
  <si>
    <t>- 학술지통보를 관리한다.
문서번호, 대외발표승인건 조회, 서지정보, 저널명, 논문명, 학술지명, sci구분, 발행일자, ISSN, 주저자, 교신저자, 공저자, 키워드, 논문원본, 게재확인서</t>
    <phoneticPr fontId="1" type="noConversion"/>
  </si>
  <si>
    <t>- 학회발표통보를 관리한다.
문서번호, 대외발표승인건 조회, , 주저자, 교신저자, 공저자, 키워드, 논문원본, 증빙자료</t>
    <phoneticPr fontId="1" type="noConversion"/>
  </si>
  <si>
    <t>일반사용자</t>
    <phoneticPr fontId="1" type="noConversion"/>
  </si>
  <si>
    <t>일반사용자</t>
    <phoneticPr fontId="1" type="noConversion"/>
  </si>
  <si>
    <t>- 학술지(학술지기준)을 조회한다.</t>
    <phoneticPr fontId="1" type="noConversion"/>
  </si>
  <si>
    <t>2.0</t>
    <phoneticPr fontId="1" type="noConversion"/>
  </si>
  <si>
    <t>2023.04.10</t>
    <phoneticPr fontId="1" type="noConversion"/>
  </si>
  <si>
    <t>검토</t>
    <phoneticPr fontId="1" type="noConversion"/>
  </si>
  <si>
    <t>설계단계 감리 베이스라인 설정</t>
    <phoneticPr fontId="1" type="noConversion"/>
  </si>
  <si>
    <t>이문희</t>
    <phoneticPr fontId="1" type="noConversion"/>
  </si>
  <si>
    <t>전자결재</t>
    <phoneticPr fontId="1" type="noConversion"/>
  </si>
  <si>
    <t>22KST2(N)_10_RA22_면담결과서_PMS_성과관리(230201)_v0.1.hwp</t>
    <phoneticPr fontId="1" type="noConversion"/>
  </si>
  <si>
    <t>- ISBN등록신청서를 관리한다.
문서번호, 도서명, 출판예정일, 저자개요, 저자정보, 도서정보, ISBN번호, 초록, 등록일, 전자원문
- 도서구분, 자료유형 필수항목. 선택없음 선택시 해당사유 입력</t>
    <phoneticPr fontId="1" type="noConversion"/>
  </si>
  <si>
    <t>22KST2(N)_10_RA22_면담결과서_PMS_성과관리(230201)_v0.1.hwp</t>
  </si>
  <si>
    <t>- 기술이전인센티브지급신청서를 관리한다.
문서번호, 기술이전신청 정보, 참여자 인센티브 리스트
- 재직/퇴직여부, 기지급내역 표기</t>
    <phoneticPr fontId="1" type="noConversion"/>
  </si>
  <si>
    <t>- 기술이전계약체결승인신청서를 관리한다.
- 최종확정된 기술이전명/유발과제/관련지재권/참여자및기여자/기여율 수정기능</t>
    <phoneticPr fontId="1" type="noConversion"/>
  </si>
  <si>
    <t>- 기술이전의뢰서를 관리한다.
문서번호, 기술이전명, 기술이전유발과제, 관련지식재산권, 기술실시에정자, 기술이전계획내용, 기여자, 참여자, 이전조건
- 참여자/기여자의 성명, 사번, 소속, 직급, 채용구분, 재직/퇴직 정보 표기</t>
    <phoneticPr fontId="1" type="noConversion"/>
  </si>
  <si>
    <t>- 기술자문계약체결승인신청서를 관리한다.
문서번호, 계약체결의뢰서 항목일체, 산업체공문, 기술자문신청서, 의뢰석, 계획검토서, 계약서
- 비고항목 추가</t>
    <phoneticPr fontId="1" type="noConversion"/>
  </si>
  <si>
    <t>- 본부심의결과통보서를 관리한다.
문선버호, 기술이전신청정보, 심의결과, 최종결과
- 최종 확정된 기술이전명/유발과제/관련지재권/참여자및기여자/기여율 등을 입력 또는 수정할 수 있도록 기능 추가, 수신문서에서도 정액기술료, 경상기술료 값 표기</t>
    <phoneticPr fontId="1" type="noConversion"/>
  </si>
  <si>
    <t>- 학술지게재실적등록신청서를 관리한다.
문서번호, 대외발표승인건 조회, 서지정보, 저널명, 논문명, 학술지명, sci구분, 발행일자, ISSN, 주저자, 교신저자, 공저자, 키워드, 논문원본, 게재확인서
- SCI구분-항목명 추가</t>
    <phoneticPr fontId="1" type="noConversion"/>
  </si>
  <si>
    <t>- 학술지대외발표승인신청서를 관리한다.
논문투고시점검안내, 문서번호, 서지정보, 저널명, 논문명, 학술지명, sci구분, 발행일자, ISSN, 주저자, 교신저자, 공저자, 키워드, 논문원본, 유사도검사결과
- SCI구분- 항목명 설명 추가요청, 저널명검색 시 대소문자 통합검색 요청, 국내외 항목 추가</t>
    <phoneticPr fontId="1" type="noConversion"/>
  </si>
  <si>
    <t>- 학회발표대외발표승인신청서를 관리한다.
학술대회참석시점검안내, 문서번호, 발표자료명,발표회명, 주최기관, 발표예정일자, 국가, 논문공개여부, DOI, 주저자, 교신저자, 공저자, 키워드, 논문원본, 유사도검사결과
- 주최기관 불러오는 기능</t>
    <phoneticPr fontId="1" type="noConversion"/>
  </si>
  <si>
    <t>- 학회발표실적등록신청서를 관리한다.
문서번호, 대외발표승인건 조회, , 주저자, 교신저자, 공저자, 키워드, 논문원본, 증빙자료
- 멀티첨부파일을 개별 파일로(논문, 발표자료, 발표사진), 참고문구 추가</t>
    <phoneticPr fontId="1" type="noConversion"/>
  </si>
  <si>
    <t>영업비밀등록신고서(전자결재)</t>
    <phoneticPr fontId="1" type="noConversion"/>
  </si>
  <si>
    <t>- 학술지통보를 관리한다.
문서번호, 대외발표승인건 조회, 서지정보, 저널명, 논문명, 학술지명, sci구분, 발행일자, ISSN, 주저자, 교신저자, 공저자, 키워드, 논문원본, 게재확인서</t>
    <phoneticPr fontId="1" type="noConversion"/>
  </si>
  <si>
    <t>- 영업비밀등록신고서를 관리한다.</t>
    <phoneticPr fontId="1" type="noConversion"/>
  </si>
  <si>
    <t>- 기술이전 신청서에서 지식재산권 선택 시 필요 영업비밀등록신고서 관리번호와 영업비밀 명칭으로 연결되도록</t>
    <phoneticPr fontId="1" type="noConversion"/>
  </si>
  <si>
    <t>OTC-99</t>
  </si>
  <si>
    <t xml:space="preserve">- 기술이전을 관리한다.
기술자문 관련 신청서 모든 항목 표기, 담당자 검토 및 관리기능
- 일시납, 분납, 경상기술료의 입금일자, 입금액 등 기재 (수입의뢰서와 자동연계) </t>
    <phoneticPr fontId="1" type="noConversion"/>
  </si>
  <si>
    <t>- 기술이전의뢰서를 조회한다.
- 검색조건 추가)유발과제, 관련지식재산권)
- 인센티브지급일자 결의일자로 변경</t>
    <phoneticPr fontId="1" type="noConversion"/>
  </si>
  <si>
    <t>- 기술이전인센티브 지급내역을 조회한다.
- 기술이전건의 기술료 입금일자, 수입액 추가</t>
    <phoneticPr fontId="1" type="noConversion"/>
  </si>
  <si>
    <t>- 기술자문을 관리한다.
기술자문 관련 신청서 모든 항목 표기, 담당자 검토 및 관리기능
- 일시납, 분납의 입금일자 및 입금액 기재(수입의뢰서와 자동 연계)</t>
    <phoneticPr fontId="1" type="noConversion"/>
  </si>
  <si>
    <t>특허시스템_수정요청_20231006.xlsx</t>
    <phoneticPr fontId="1" type="noConversion"/>
  </si>
  <si>
    <r>
      <t xml:space="preserve">- 특허비용지급신청서를 관리한다.
문서번호, 발명명칭, 유발과제, 비용지급과제, 금액, 증빙, 신청금액, 거래처, 계좌번호
</t>
    </r>
    <r>
      <rPr>
        <sz val="10"/>
        <color rgb="FF00B0F0"/>
        <rFont val="맑은 고딕"/>
        <family val="3"/>
        <charset val="129"/>
        <scheme val="minor"/>
      </rPr>
      <t>- 특허비용지급신청목록 선택된 항목 복사기능 요청</t>
    </r>
    <phoneticPr fontId="1" type="noConversion"/>
  </si>
  <si>
    <r>
      <t xml:space="preserve">- 발명(출원)신고서를 관리한다.
문서번호, 발명명칭, 발명종류,주발명자, 핵심내용, 출원희망대리기관, 심창청구여부, 우선심사청구여부, 특징, 양도증, 연구과제개요, 발명자정보
</t>
    </r>
    <r>
      <rPr>
        <sz val="10"/>
        <color rgb="FF00B0F0"/>
        <rFont val="맑은 고딕"/>
        <family val="3"/>
        <charset val="129"/>
        <scheme val="minor"/>
      </rPr>
      <t>- 출원관련 기능 변경사항. 가출원여부-&gt;출원구분(정식출원, 가출원, 분할출원)
정식출원 1건만 존재. 가출원은 KR-가, 분할출원은 KR-A,B,C… 연속값 유지 필수
- 기존 관리번호를 발명신고 결재완료시 부여하여 발명신고 테이블에 저장. 이후 관리번호는 모두 발명신고의 관리번호 체계를 따라가도록 수정 요청</t>
    </r>
    <phoneticPr fontId="1" type="noConversion"/>
  </si>
  <si>
    <r>
      <t xml:space="preserve">- 특허를 관리한다.
검색조건, 발명목록, 발명신청 정보, 완료통보정보, 유지포기정보, 출원정보, 등록정보, 발명자정보
</t>
    </r>
    <r>
      <rPr>
        <sz val="10"/>
        <color rgb="FF00B0F0"/>
        <rFont val="맑은 고딕"/>
        <family val="3"/>
        <charset val="129"/>
        <scheme val="minor"/>
      </rPr>
      <t>- 지재권 관리번호 수정할 수 있도록 요청
- 지식재산권 정보 입력할 때 입력이 어떤 형태로 입력됐는지 구분값 요청. 지식재산권 화면에서 발명정보 보이도록 요청</t>
    </r>
    <phoneticPr fontId="1" type="noConversion"/>
  </si>
  <si>
    <t>FUR-188-01-0100</t>
    <phoneticPr fontId="1" type="noConversion"/>
  </si>
  <si>
    <t>FUR-188-01-0200</t>
    <phoneticPr fontId="1" type="noConversion"/>
  </si>
  <si>
    <t>FUR-188-01-0300</t>
    <phoneticPr fontId="1" type="noConversion"/>
  </si>
  <si>
    <t>FUR-188-01-0400</t>
    <phoneticPr fontId="1" type="noConversion"/>
  </si>
  <si>
    <t>FUR-188-01-0500</t>
    <phoneticPr fontId="1" type="noConversion"/>
  </si>
  <si>
    <t>FUR-188-01-0600</t>
    <phoneticPr fontId="1" type="noConversion"/>
  </si>
  <si>
    <t>FUR-188-01-0700</t>
    <phoneticPr fontId="1" type="noConversion"/>
  </si>
  <si>
    <t>FUR-188-01-0800</t>
    <phoneticPr fontId="1" type="noConversion"/>
  </si>
  <si>
    <t>FUR-190-01-0100</t>
    <phoneticPr fontId="1" type="noConversion"/>
  </si>
  <si>
    <t>명세서 초안 보고(특허법인)</t>
    <phoneticPr fontId="1" type="noConversion"/>
  </si>
  <si>
    <t>명세서 초안 검토</t>
    <phoneticPr fontId="1" type="noConversion"/>
  </si>
  <si>
    <t>FUR-191-01-0200</t>
    <phoneticPr fontId="1" type="noConversion"/>
  </si>
  <si>
    <t>특허법인</t>
    <phoneticPr fontId="1" type="noConversion"/>
  </si>
  <si>
    <t>OTC-100</t>
  </si>
  <si>
    <t>OTC-101</t>
  </si>
  <si>
    <t>특허비용청구(특허법인)</t>
    <phoneticPr fontId="1" type="noConversion"/>
  </si>
  <si>
    <t xml:space="preserve"> - 특허법인에서 특허출원명세서 초안을 작성한다.</t>
    <phoneticPr fontId="1" type="noConversion"/>
  </si>
  <si>
    <t xml:space="preserve"> - 담당자가 명세서 초안을 확인하고 내용을 등록한다.</t>
    <phoneticPr fontId="1" type="noConversion"/>
  </si>
  <si>
    <t xml:space="preserve"> - 명세서초안정보를 입력하고 관리한다.</t>
    <phoneticPr fontId="1" type="noConversion"/>
  </si>
  <si>
    <t xml:space="preserve"> - 명세서초안정보를 검토하고 관리한다.</t>
    <phoneticPr fontId="1" type="noConversion"/>
  </si>
  <si>
    <t xml:space="preserve"> - 특허법인에서 진행한 내용을 기준으로 특허비용청구를 작성한다.</t>
    <phoneticPr fontId="1" type="noConversion"/>
  </si>
  <si>
    <t>특허비용청구확인</t>
    <phoneticPr fontId="1" type="noConversion"/>
  </si>
  <si>
    <t xml:space="preserve"> - 특허법인에서 작성한 특허비용청구 내용을 확인하고 접수한다.</t>
    <phoneticPr fontId="1" type="noConversion"/>
  </si>
  <si>
    <t>FUR-192-01-0100</t>
    <phoneticPr fontId="1" type="noConversion"/>
  </si>
  <si>
    <t>FUR-192-01-0200</t>
    <phoneticPr fontId="1" type="noConversion"/>
  </si>
  <si>
    <t>OTC-102</t>
  </si>
  <si>
    <t>OTC-103</t>
  </si>
  <si>
    <t>회의록</t>
    <phoneticPr fontId="1" type="noConversion"/>
  </si>
  <si>
    <t>FUR-189-01-0100</t>
    <phoneticPr fontId="1" type="noConversion"/>
  </si>
  <si>
    <t>FUR-191-01-0100</t>
    <phoneticPr fontId="1" type="noConversion"/>
  </si>
  <si>
    <t>Ver. 3.0</t>
    <phoneticPr fontId="1" type="noConversion"/>
  </si>
  <si>
    <t>3.0</t>
    <phoneticPr fontId="1" type="noConversion"/>
  </si>
  <si>
    <t>2024.03.05</t>
    <phoneticPr fontId="1" type="noConversion"/>
  </si>
  <si>
    <t>검토</t>
    <phoneticPr fontId="1" type="noConversion"/>
  </si>
  <si>
    <t>종료단계 감리 베이스라인 설정</t>
    <phoneticPr fontId="1" type="noConversion"/>
  </si>
  <si>
    <t>이문희</t>
    <phoneticPr fontId="1" type="noConversion"/>
  </si>
  <si>
    <t>OTC-104</t>
    <phoneticPr fontId="1" type="noConversion"/>
  </si>
  <si>
    <t>연구관리시스템</t>
    <phoneticPr fontId="1" type="noConversion"/>
  </si>
  <si>
    <t>추가</t>
    <phoneticPr fontId="71" type="noConversion"/>
  </si>
  <si>
    <t>FUR-181-01-1100</t>
    <phoneticPr fontId="71" type="noConversion"/>
  </si>
  <si>
    <t>성과</t>
    <phoneticPr fontId="1" type="noConversion"/>
  </si>
  <si>
    <t>학술활동개선건의</t>
    <phoneticPr fontId="71" type="noConversion"/>
  </si>
  <si>
    <t>- 학술활동개선건의를 관리한다.</t>
    <phoneticPr fontId="1" type="noConversion"/>
  </si>
  <si>
    <t>-학술활동개선건의서를 관리한다.</t>
    <phoneticPr fontId="1" type="noConversion"/>
  </si>
  <si>
    <t>- 기술자문완료확인신청서를 관리한다.
문서번호, 기술자문계약구분, 자문명, 자문기간, 자분비, 자문참여자, 기술자문신청자정보, 기술자문일정, 참여자, 계획검토서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</si>
</sst>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7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바탕체"/>
      <family val="1"/>
      <charset val="129"/>
    </font>
    <font>
      <sz val="11"/>
      <name val="굴림체"/>
      <family val="3"/>
      <charset val="129"/>
    </font>
    <font>
      <b/>
      <sz val="28"/>
      <name val="바탕체"/>
      <family val="1"/>
      <charset val="129"/>
    </font>
    <font>
      <b/>
      <sz val="12"/>
      <name val="바탕체"/>
      <family val="1"/>
      <charset val="129"/>
    </font>
    <font>
      <b/>
      <sz val="14"/>
      <name val="바탕체"/>
      <family val="1"/>
      <charset val="129"/>
    </font>
    <font>
      <b/>
      <sz val="13"/>
      <name val="바탕체"/>
      <family val="1"/>
      <charset val="129"/>
    </font>
    <font>
      <sz val="8"/>
      <name val="바탕체"/>
      <family val="1"/>
      <charset val="129"/>
    </font>
    <font>
      <b/>
      <u/>
      <sz val="14"/>
      <name val="바탕체"/>
      <family val="1"/>
      <charset val="129"/>
    </font>
    <font>
      <sz val="11"/>
      <name val="바탕체"/>
      <family val="1"/>
      <charset val="129"/>
    </font>
    <font>
      <b/>
      <sz val="11"/>
      <name val="바탕체"/>
      <family val="1"/>
      <charset val="129"/>
    </font>
    <font>
      <b/>
      <vertAlign val="superscript"/>
      <sz val="11"/>
      <name val="바탕체"/>
      <family val="1"/>
      <charset val="129"/>
    </font>
    <font>
      <sz val="9"/>
      <name val="바탕체"/>
      <family val="1"/>
      <charset val="129"/>
    </font>
    <font>
      <b/>
      <sz val="36"/>
      <name val="바탕체"/>
      <family val="1"/>
      <charset val="129"/>
    </font>
    <font>
      <b/>
      <sz val="36"/>
      <name val="돋움"/>
      <family val="3"/>
      <charset val="129"/>
    </font>
    <font>
      <b/>
      <sz val="16"/>
      <name val="바탕체"/>
      <family val="1"/>
      <charset val="129"/>
    </font>
    <font>
      <sz val="16"/>
      <name val="돋움"/>
      <family val="3"/>
      <charset val="129"/>
    </font>
    <font>
      <sz val="2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바탕체"/>
      <family val="1"/>
      <charset val="129"/>
    </font>
    <font>
      <sz val="11"/>
      <color theme="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0"/>
      <name val="굴림체"/>
      <family val="3"/>
      <charset val="129"/>
    </font>
    <font>
      <b/>
      <sz val="10"/>
      <color rgb="FF00B0F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 tint="0.24997711111789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2" tint="-0.49998474074526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Helv"/>
      <family val="2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indexed="8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</patternFill>
    </fill>
    <fill>
      <patternFill patternType="solid">
        <fgColor rgb="FFF0F0F0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63">
    <xf numFmtId="0" fontId="0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76" fontId="46" fillId="0" borderId="0" applyFont="0" applyFill="0" applyBorder="0" applyAlignment="0" applyProtection="0"/>
    <xf numFmtId="177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0" fontId="47" fillId="0" borderId="29" applyNumberFormat="0" applyAlignment="0" applyProtection="0">
      <alignment horizontal="left" vertical="center"/>
    </xf>
    <xf numFmtId="0" fontId="47" fillId="0" borderId="6">
      <alignment horizontal="left" vertical="center"/>
    </xf>
    <xf numFmtId="0" fontId="48" fillId="0" borderId="0"/>
    <xf numFmtId="0" fontId="49" fillId="0" borderId="0">
      <alignment horizontal="left" vertical="center"/>
    </xf>
    <xf numFmtId="0" fontId="49" fillId="0" borderId="0">
      <alignment horizontal="left" vertical="center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right" vertical="top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51" fillId="0" borderId="0">
      <alignment horizontal="left" vertical="center"/>
    </xf>
    <xf numFmtId="0" fontId="51" fillId="0" borderId="0">
      <alignment horizontal="left" vertical="center"/>
    </xf>
    <xf numFmtId="0" fontId="50" fillId="41" borderId="0">
      <alignment horizontal="center" vertical="center"/>
    </xf>
    <xf numFmtId="0" fontId="50" fillId="41" borderId="0">
      <alignment horizontal="center" vertical="center"/>
    </xf>
    <xf numFmtId="0" fontId="50" fillId="41" borderId="0">
      <alignment horizontal="center" vertical="center"/>
    </xf>
    <xf numFmtId="0" fontId="50" fillId="41" borderId="0">
      <alignment horizontal="center"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1" borderId="14" applyNumberFormat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41" fillId="13" borderId="18" applyNumberFormat="0" applyFont="0" applyAlignment="0" applyProtection="0">
      <alignment vertical="center"/>
    </xf>
    <xf numFmtId="0" fontId="4" fillId="13" borderId="18" applyNumberFormat="0" applyFont="0" applyAlignment="0" applyProtection="0">
      <alignment vertical="center"/>
    </xf>
    <xf numFmtId="0" fontId="4" fillId="13" borderId="18" applyNumberFormat="0" applyFont="0" applyAlignment="0" applyProtection="0">
      <alignment vertical="center"/>
    </xf>
    <xf numFmtId="9" fontId="5" fillId="0" borderId="0" applyFont="0" applyFill="0" applyBorder="0" applyAlignment="0" applyProtection="0"/>
    <xf numFmtId="0" fontId="55" fillId="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2" borderId="17" applyNumberFormat="0" applyAlignment="0" applyProtection="0">
      <alignment vertical="center"/>
    </xf>
    <xf numFmtId="41" fontId="5" fillId="0" borderId="0" applyFont="0" applyFill="0" applyBorder="0" applyAlignment="0" applyProtection="0"/>
    <xf numFmtId="0" fontId="58" fillId="0" borderId="0"/>
    <xf numFmtId="0" fontId="59" fillId="0" borderId="0"/>
    <xf numFmtId="0" fontId="60" fillId="0" borderId="16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61" fillId="10" borderId="14" applyNumberFormat="0" applyAlignment="0" applyProtection="0">
      <alignment vertical="center"/>
    </xf>
    <xf numFmtId="0" fontId="62" fillId="0" borderId="11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7" fillId="11" borderId="15" applyNumberFormat="0" applyAlignment="0" applyProtection="0">
      <alignment vertical="center"/>
    </xf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5" fillId="0" borderId="0"/>
    <xf numFmtId="0" fontId="5" fillId="0" borderId="0"/>
    <xf numFmtId="0" fontId="68" fillId="0" borderId="0"/>
    <xf numFmtId="0" fontId="5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5" fillId="0" borderId="0"/>
    <xf numFmtId="0" fontId="41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5" fillId="0" borderId="0"/>
    <xf numFmtId="0" fontId="6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4" fillId="5" borderId="0" xfId="1" applyFont="1" applyFill="1" applyAlignment="1">
      <alignment horizontal="justify" vertical="center"/>
    </xf>
    <xf numFmtId="0" fontId="5" fillId="5" borderId="0" xfId="1" applyFill="1"/>
    <xf numFmtId="0" fontId="17" fillId="5" borderId="4" xfId="1" applyFont="1" applyFill="1" applyBorder="1" applyAlignment="1">
      <alignment horizontal="center" vertical="center" wrapText="1"/>
    </xf>
    <xf numFmtId="49" fontId="17" fillId="5" borderId="4" xfId="1" applyNumberFormat="1" applyFont="1" applyFill="1" applyBorder="1" applyAlignment="1">
      <alignment horizontal="center" vertical="center" wrapText="1"/>
    </xf>
    <xf numFmtId="0" fontId="17" fillId="5" borderId="4" xfId="1" applyFont="1" applyFill="1" applyBorder="1" applyAlignment="1">
      <alignment horizontal="justify" vertical="center" wrapText="1"/>
    </xf>
    <xf numFmtId="0" fontId="15" fillId="2" borderId="4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horizontal="right"/>
    </xf>
    <xf numFmtId="0" fontId="5" fillId="5" borderId="0" xfId="1" applyFont="1" applyFill="1" applyAlignment="1"/>
    <xf numFmtId="0" fontId="7" fillId="5" borderId="0" xfId="1" applyFont="1" applyFill="1" applyAlignment="1">
      <alignment horizontal="right" vertical="center"/>
    </xf>
    <xf numFmtId="0" fontId="9" fillId="5" borderId="0" xfId="1" applyFont="1" applyFill="1" applyAlignment="1">
      <alignment horizontal="right"/>
    </xf>
    <xf numFmtId="0" fontId="10" fillId="5" borderId="0" xfId="1" applyFont="1" applyFill="1" applyAlignment="1">
      <alignment horizontal="right" vertical="top"/>
    </xf>
    <xf numFmtId="0" fontId="11" fillId="5" borderId="0" xfId="1" applyFont="1" applyFill="1" applyAlignment="1">
      <alignment horizontal="justify" vertical="top"/>
    </xf>
    <xf numFmtId="0" fontId="11" fillId="5" borderId="0" xfId="1" applyFont="1" applyFill="1" applyAlignment="1">
      <alignment vertical="top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4" fillId="0" borderId="4" xfId="0" applyFont="1" applyBorder="1">
      <alignment vertical="center"/>
    </xf>
    <xf numFmtId="0" fontId="2" fillId="0" borderId="4" xfId="0" applyFont="1" applyFill="1" applyBorder="1">
      <alignment vertical="center"/>
    </xf>
    <xf numFmtId="0" fontId="24" fillId="0" borderId="4" xfId="0" applyFont="1" applyBorder="1" applyAlignment="1">
      <alignment vertical="center" wrapText="1"/>
    </xf>
    <xf numFmtId="0" fontId="24" fillId="0" borderId="4" xfId="0" applyFont="1" applyFill="1" applyBorder="1">
      <alignment vertical="center"/>
    </xf>
    <xf numFmtId="0" fontId="2" fillId="0" borderId="4" xfId="0" applyFont="1" applyBorder="1" applyAlignment="1">
      <alignment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9" fillId="0" borderId="4" xfId="0" applyFont="1" applyBorder="1" applyAlignment="1">
      <alignment horizontal="justify" vertical="center"/>
    </xf>
    <xf numFmtId="0" fontId="29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7" fillId="0" borderId="4" xfId="0" quotePrefix="1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7" fillId="0" borderId="4" xfId="0" quotePrefix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30" fillId="5" borderId="4" xfId="1" applyFont="1" applyFill="1" applyBorder="1" applyAlignment="1">
      <alignment horizontal="center" vertical="center" wrapText="1"/>
    </xf>
    <xf numFmtId="0" fontId="30" fillId="5" borderId="4" xfId="1" applyFont="1" applyFill="1" applyBorder="1" applyAlignment="1">
      <alignment horizontal="center" vertical="center"/>
    </xf>
    <xf numFmtId="0" fontId="31" fillId="5" borderId="4" xfId="1" applyFont="1" applyFill="1" applyBorder="1" applyAlignment="1">
      <alignment horizontal="center" vertical="center"/>
    </xf>
    <xf numFmtId="0" fontId="32" fillId="5" borderId="4" xfId="1" applyFont="1" applyFill="1" applyBorder="1" applyAlignment="1">
      <alignment horizontal="center" vertical="center" wrapText="1"/>
    </xf>
    <xf numFmtId="0" fontId="24" fillId="0" borderId="4" xfId="0" quotePrefix="1" applyFont="1" applyBorder="1" applyAlignment="1">
      <alignment vertical="center" wrapText="1"/>
    </xf>
    <xf numFmtId="0" fontId="0" fillId="5" borderId="20" xfId="0" applyFill="1" applyBorder="1">
      <alignment vertical="center"/>
    </xf>
    <xf numFmtId="0" fontId="38" fillId="5" borderId="21" xfId="0" applyFont="1" applyFill="1" applyBorder="1" applyAlignment="1">
      <alignment horizontal="center" vertical="center"/>
    </xf>
    <xf numFmtId="0" fontId="39" fillId="5" borderId="21" xfId="0" applyFont="1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40" fillId="5" borderId="0" xfId="0" applyFont="1" applyFill="1" applyBorder="1" applyAlignment="1">
      <alignment horizontal="centerContinuous" vertical="center"/>
    </xf>
    <xf numFmtId="0" fontId="41" fillId="5" borderId="0" xfId="0" applyFont="1" applyFill="1" applyBorder="1" applyAlignment="1">
      <alignment horizontal="centerContinuous" vertical="center"/>
    </xf>
    <xf numFmtId="0" fontId="0" fillId="5" borderId="0" xfId="0" applyFill="1" applyBorder="1">
      <alignment vertical="center"/>
    </xf>
    <xf numFmtId="0" fontId="0" fillId="5" borderId="24" xfId="0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3" fillId="39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43" fillId="39" borderId="4" xfId="0" applyFont="1" applyFill="1" applyBorder="1" applyAlignment="1">
      <alignment horizontal="center" vertical="center"/>
    </xf>
    <xf numFmtId="0" fontId="24" fillId="39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0" fillId="5" borderId="26" xfId="0" applyFill="1" applyBorder="1">
      <alignment vertical="center"/>
    </xf>
    <xf numFmtId="0" fontId="0" fillId="5" borderId="27" xfId="0" applyFill="1" applyBorder="1">
      <alignment vertical="center"/>
    </xf>
    <xf numFmtId="0" fontId="0" fillId="5" borderId="28" xfId="0" applyFill="1" applyBorder="1">
      <alignment vertical="center"/>
    </xf>
    <xf numFmtId="0" fontId="34" fillId="0" borderId="4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4" xfId="0" applyFont="1" applyFill="1" applyBorder="1" applyAlignment="1">
      <alignment horizontal="left" vertical="center" wrapText="1"/>
    </xf>
    <xf numFmtId="0" fontId="34" fillId="0" borderId="4" xfId="0" applyFont="1" applyBorder="1" applyAlignment="1">
      <alignment horizontal="justify" vertical="center"/>
    </xf>
    <xf numFmtId="0" fontId="34" fillId="0" borderId="4" xfId="0" applyFont="1" applyBorder="1" applyAlignment="1">
      <alignment horizontal="left" vertical="center"/>
    </xf>
    <xf numFmtId="0" fontId="34" fillId="0" borderId="4" xfId="0" quotePrefix="1" applyFont="1" applyFill="1" applyBorder="1" applyAlignment="1">
      <alignment horizontal="left" vertical="center" wrapText="1"/>
    </xf>
    <xf numFmtId="0" fontId="34" fillId="0" borderId="4" xfId="0" quotePrefix="1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29" fillId="0" borderId="4" xfId="161" applyFont="1" applyFill="1" applyBorder="1" applyAlignment="1">
      <alignment horizontal="left" vertical="center"/>
    </xf>
    <xf numFmtId="0" fontId="70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vertical="center" wrapText="1"/>
    </xf>
    <xf numFmtId="0" fontId="29" fillId="0" borderId="4" xfId="161" applyFont="1" applyFill="1" applyBorder="1" applyAlignment="1">
      <alignment horizontal="left" vertical="center" wrapText="1"/>
    </xf>
    <xf numFmtId="0" fontId="27" fillId="0" borderId="4" xfId="0" applyFont="1" applyBorder="1">
      <alignment vertical="center"/>
    </xf>
    <xf numFmtId="0" fontId="27" fillId="0" borderId="4" xfId="0" quotePrefix="1" applyFont="1" applyBorder="1" applyAlignment="1">
      <alignment vertical="center" wrapText="1"/>
    </xf>
    <xf numFmtId="0" fontId="0" fillId="0" borderId="4" xfId="0" applyBorder="1">
      <alignment vertical="center"/>
    </xf>
    <xf numFmtId="0" fontId="12" fillId="5" borderId="0" xfId="1" applyFont="1" applyFill="1" applyAlignment="1">
      <alignment horizontal="center"/>
    </xf>
    <xf numFmtId="0" fontId="18" fillId="5" borderId="0" xfId="1" applyFont="1" applyFill="1" applyAlignment="1">
      <alignment horizontal="right" vertical="center" wrapText="1"/>
    </xf>
    <xf numFmtId="0" fontId="19" fillId="5" borderId="0" xfId="1" applyFont="1" applyFill="1" applyAlignment="1">
      <alignment horizontal="right" vertical="center"/>
    </xf>
    <xf numFmtId="0" fontId="8" fillId="5" borderId="3" xfId="1" applyFont="1" applyFill="1" applyBorder="1" applyAlignment="1">
      <alignment horizontal="right"/>
    </xf>
    <xf numFmtId="0" fontId="5" fillId="5" borderId="3" xfId="1" applyFont="1" applyFill="1" applyBorder="1" applyAlignment="1">
      <alignment vertical="center"/>
    </xf>
    <xf numFmtId="0" fontId="25" fillId="5" borderId="0" xfId="1" applyFont="1" applyFill="1" applyAlignment="1">
      <alignment horizontal="right"/>
    </xf>
    <xf numFmtId="0" fontId="26" fillId="5" borderId="0" xfId="1" applyFont="1" applyFill="1" applyAlignment="1">
      <alignment horizontal="right" vertical="center"/>
    </xf>
    <xf numFmtId="0" fontId="20" fillId="5" borderId="0" xfId="1" applyFont="1" applyFill="1" applyAlignment="1">
      <alignment horizontal="right" indent="1"/>
    </xf>
    <xf numFmtId="0" fontId="21" fillId="5" borderId="0" xfId="1" applyFont="1" applyFill="1" applyAlignment="1">
      <alignment horizontal="right" vertical="center" indent="1"/>
    </xf>
    <xf numFmtId="0" fontId="6" fillId="5" borderId="0" xfId="1" applyFont="1" applyFill="1" applyAlignment="1">
      <alignment horizontal="right" vertical="top"/>
    </xf>
    <xf numFmtId="0" fontId="22" fillId="5" borderId="0" xfId="1" applyFont="1" applyFill="1" applyAlignment="1">
      <alignment horizontal="right" vertical="center"/>
    </xf>
    <xf numFmtId="0" fontId="9" fillId="5" borderId="0" xfId="1" applyFont="1" applyFill="1" applyAlignment="1">
      <alignment horizontal="center"/>
    </xf>
    <xf numFmtId="0" fontId="30" fillId="5" borderId="8" xfId="1" applyFont="1" applyFill="1" applyBorder="1" applyAlignment="1">
      <alignment horizontal="center" vertical="center"/>
    </xf>
    <xf numFmtId="0" fontId="30" fillId="5" borderId="10" xfId="1" applyFont="1" applyFill="1" applyBorder="1" applyAlignment="1">
      <alignment horizontal="center" vertical="center"/>
    </xf>
    <xf numFmtId="0" fontId="30" fillId="5" borderId="9" xfId="1" applyFont="1" applyFill="1" applyBorder="1" applyAlignment="1">
      <alignment horizontal="center" vertical="center"/>
    </xf>
    <xf numFmtId="0" fontId="14" fillId="5" borderId="5" xfId="1" applyFont="1" applyFill="1" applyBorder="1" applyAlignment="1">
      <alignment horizontal="left" vertical="center"/>
    </xf>
    <xf numFmtId="0" fontId="14" fillId="5" borderId="6" xfId="1" applyFont="1" applyFill="1" applyBorder="1" applyAlignment="1">
      <alignment horizontal="left" vertical="center"/>
    </xf>
    <xf numFmtId="0" fontId="14" fillId="5" borderId="7" xfId="1" applyFont="1" applyFill="1" applyBorder="1" applyAlignment="1">
      <alignment horizontal="left" vertical="center"/>
    </xf>
    <xf numFmtId="0" fontId="17" fillId="5" borderId="5" xfId="1" applyFont="1" applyFill="1" applyBorder="1" applyAlignment="1">
      <alignment horizontal="left" vertical="center"/>
    </xf>
    <xf numFmtId="0" fontId="17" fillId="5" borderId="6" xfId="1" applyFont="1" applyFill="1" applyBorder="1" applyAlignment="1">
      <alignment horizontal="left" vertical="center"/>
    </xf>
    <xf numFmtId="0" fontId="17" fillId="5" borderId="7" xfId="1" applyFont="1" applyFill="1" applyBorder="1" applyAlignment="1">
      <alignment horizontal="left" vertical="center"/>
    </xf>
    <xf numFmtId="0" fontId="17" fillId="5" borderId="5" xfId="1" quotePrefix="1" applyFont="1" applyFill="1" applyBorder="1" applyAlignment="1">
      <alignment vertical="center"/>
    </xf>
    <xf numFmtId="0" fontId="17" fillId="5" borderId="6" xfId="1" applyFont="1" applyFill="1" applyBorder="1" applyAlignment="1">
      <alignment vertical="center"/>
    </xf>
    <xf numFmtId="0" fontId="17" fillId="5" borderId="7" xfId="1" applyFont="1" applyFill="1" applyBorder="1" applyAlignment="1">
      <alignment vertical="center"/>
    </xf>
    <xf numFmtId="0" fontId="17" fillId="5" borderId="5" xfId="1" applyFont="1" applyFill="1" applyBorder="1" applyAlignment="1">
      <alignment vertical="center"/>
    </xf>
    <xf numFmtId="0" fontId="17" fillId="5" borderId="5" xfId="1" quotePrefix="1" applyFont="1" applyFill="1" applyBorder="1" applyAlignment="1">
      <alignment vertical="center" wrapText="1"/>
    </xf>
    <xf numFmtId="0" fontId="13" fillId="5" borderId="0" xfId="1" applyFont="1" applyFill="1" applyAlignment="1">
      <alignment horizontal="center" vertical="center"/>
    </xf>
    <xf numFmtId="0" fontId="15" fillId="2" borderId="5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42" fillId="38" borderId="25" xfId="0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27" fillId="0" borderId="4" xfId="162" applyFont="1" applyFill="1" applyBorder="1" applyAlignment="1">
      <alignment horizontal="center" vertical="center"/>
    </xf>
  </cellXfs>
  <cellStyles count="163">
    <cellStyle name="20% - 강조색1 2" xfId="13"/>
    <cellStyle name="20% - 강조색1 2 2" xfId="14"/>
    <cellStyle name="20% - 강조색2 2" xfId="15"/>
    <cellStyle name="20% - 강조색2 2 2" xfId="16"/>
    <cellStyle name="20% - 강조색2 2 3" xfId="17"/>
    <cellStyle name="20% - 강조색2 3" xfId="18"/>
    <cellStyle name="20% - 강조색2 4" xfId="19"/>
    <cellStyle name="20% - 강조색2 5" xfId="20"/>
    <cellStyle name="20% - 강조색3 2" xfId="21"/>
    <cellStyle name="20% - 강조색3 2 2" xfId="22"/>
    <cellStyle name="20% - 강조색4 2" xfId="23"/>
    <cellStyle name="20% - 강조색4 2 2" xfId="24"/>
    <cellStyle name="20% - 강조색5 2" xfId="25"/>
    <cellStyle name="20% - 강조색5 2 2" xfId="26"/>
    <cellStyle name="20% - 강조색6 2" xfId="27"/>
    <cellStyle name="20% - 강조색6 2 2" xfId="28"/>
    <cellStyle name="40% - 강조색1 2" xfId="29"/>
    <cellStyle name="40% - 강조색1 2 2" xfId="30"/>
    <cellStyle name="40% - 강조색2 2" xfId="31"/>
    <cellStyle name="40% - 강조색2 2 2" xfId="32"/>
    <cellStyle name="40% - 강조색3 2" xfId="33"/>
    <cellStyle name="40% - 강조색3 2 2" xfId="34"/>
    <cellStyle name="40% - 강조색4 2" xfId="35"/>
    <cellStyle name="40% - 강조색4 2 2" xfId="36"/>
    <cellStyle name="40% - 강조색5 2" xfId="37"/>
    <cellStyle name="40% - 강조색5 2 2" xfId="38"/>
    <cellStyle name="40% - 강조색6 2" xfId="39"/>
    <cellStyle name="40% - 강조색6 2 2" xfId="40"/>
    <cellStyle name="60% - 강조색1 2" xfId="41"/>
    <cellStyle name="60% - 강조색2 2" xfId="42"/>
    <cellStyle name="60% - 강조색3 2" xfId="43"/>
    <cellStyle name="60% - 강조색4 2" xfId="44"/>
    <cellStyle name="60% - 강조색5 2" xfId="45"/>
    <cellStyle name="60% - 강조색6 2" xfId="46"/>
    <cellStyle name="Comma [0]_Full Year FY96" xfId="47"/>
    <cellStyle name="Comma_laroux" xfId="48"/>
    <cellStyle name="Currency [0]_laroux" xfId="49"/>
    <cellStyle name="Currency_laroux" xfId="50"/>
    <cellStyle name="Header1" xfId="51"/>
    <cellStyle name="Header2" xfId="52"/>
    <cellStyle name="Normal_Certs Q2" xfId="53"/>
    <cellStyle name="S0" xfId="54"/>
    <cellStyle name="S0 2" xfId="55"/>
    <cellStyle name="S1" xfId="56"/>
    <cellStyle name="S1 2" xfId="57"/>
    <cellStyle name="S10" xfId="58"/>
    <cellStyle name="S10 2" xfId="59"/>
    <cellStyle name="S11" xfId="60"/>
    <cellStyle name="S11 2" xfId="61"/>
    <cellStyle name="S12" xfId="62"/>
    <cellStyle name="S12 2" xfId="63"/>
    <cellStyle name="S13" xfId="64"/>
    <cellStyle name="S2" xfId="65"/>
    <cellStyle name="S2 2" xfId="66"/>
    <cellStyle name="S3" xfId="67"/>
    <cellStyle name="S3 2" xfId="68"/>
    <cellStyle name="S4" xfId="69"/>
    <cellStyle name="S4 2" xfId="70"/>
    <cellStyle name="S5" xfId="71"/>
    <cellStyle name="S5 2" xfId="72"/>
    <cellStyle name="S6" xfId="73"/>
    <cellStyle name="S6 2" xfId="74"/>
    <cellStyle name="S7" xfId="75"/>
    <cellStyle name="S7 2" xfId="76"/>
    <cellStyle name="S8" xfId="77"/>
    <cellStyle name="S8 2" xfId="78"/>
    <cellStyle name="S9" xfId="79"/>
    <cellStyle name="S9 2" xfId="80"/>
    <cellStyle name="강조색1 2" xfId="81"/>
    <cellStyle name="강조색1 3" xfId="82"/>
    <cellStyle name="강조색2 2" xfId="83"/>
    <cellStyle name="강조색3 2" xfId="84"/>
    <cellStyle name="강조색4 2" xfId="85"/>
    <cellStyle name="강조색5 2" xfId="86"/>
    <cellStyle name="강조색6 2" xfId="87"/>
    <cellStyle name="경고문 2" xfId="88"/>
    <cellStyle name="계산 2" xfId="89"/>
    <cellStyle name="나쁨 2" xfId="90"/>
    <cellStyle name="메모 2" xfId="91"/>
    <cellStyle name="메모 2 2" xfId="92"/>
    <cellStyle name="메모 3" xfId="93"/>
    <cellStyle name="백분율 2" xfId="94"/>
    <cellStyle name="보통 2" xfId="95"/>
    <cellStyle name="설명 텍스트 2" xfId="96"/>
    <cellStyle name="셀 확인 2" xfId="97"/>
    <cellStyle name="쉼표 [0] 2" xfId="98"/>
    <cellStyle name="스타일 1" xfId="99"/>
    <cellStyle name="스타일 1 2" xfId="100"/>
    <cellStyle name="연결된 셀 2" xfId="101"/>
    <cellStyle name="요약 2" xfId="102"/>
    <cellStyle name="입력 2" xfId="103"/>
    <cellStyle name="제목 1 2" xfId="104"/>
    <cellStyle name="제목 2 2" xfId="105"/>
    <cellStyle name="제목 3 2" xfId="106"/>
    <cellStyle name="제목 4 2" xfId="107"/>
    <cellStyle name="제목 5" xfId="108"/>
    <cellStyle name="좋음 2" xfId="109"/>
    <cellStyle name="출력 2" xfId="110"/>
    <cellStyle name="콤마 [0]_(주)청보1" xfId="111"/>
    <cellStyle name="콤마_(주)청보1" xfId="112"/>
    <cellStyle name="표준" xfId="0" builtinId="0"/>
    <cellStyle name="표준 10" xfId="113"/>
    <cellStyle name="표준 11" xfId="114"/>
    <cellStyle name="표준 11 2 2" xfId="4"/>
    <cellStyle name="표준 11 2 2 14" xfId="161"/>
    <cellStyle name="표준 11 2 2 14 2" xfId="162"/>
    <cellStyle name="표준 11 2 2 2" xfId="10"/>
    <cellStyle name="표준 12" xfId="3"/>
    <cellStyle name="표준 12 2" xfId="9"/>
    <cellStyle name="표준 12 3" xfId="115"/>
    <cellStyle name="표준 13" xfId="116"/>
    <cellStyle name="표준 14" xfId="117"/>
    <cellStyle name="표준 14 2" xfId="118"/>
    <cellStyle name="표준 15" xfId="2"/>
    <cellStyle name="표준 15 2" xfId="8"/>
    <cellStyle name="표준 2" xfId="5"/>
    <cellStyle name="표준 2 2" xfId="119"/>
    <cellStyle name="표준 2 2 2" xfId="120"/>
    <cellStyle name="표준 2 2 2 2" xfId="121"/>
    <cellStyle name="표준 2 2 3" xfId="122"/>
    <cellStyle name="표준 2 2 4" xfId="123"/>
    <cellStyle name="표준 2 2 5" xfId="124"/>
    <cellStyle name="표준 2 2 6" xfId="125"/>
    <cellStyle name="표준 2 3" xfId="126"/>
    <cellStyle name="표준 2 3 2" xfId="127"/>
    <cellStyle name="표준 2 3 2 2" xfId="128"/>
    <cellStyle name="표준 2 3 3" xfId="129"/>
    <cellStyle name="표준 2 3 4" xfId="130"/>
    <cellStyle name="표준 2 3 5" xfId="131"/>
    <cellStyle name="표준 2 3 6" xfId="132"/>
    <cellStyle name="표준 2 4" xfId="133"/>
    <cellStyle name="표준 2 5" xfId="134"/>
    <cellStyle name="표준 2 6" xfId="135"/>
    <cellStyle name="표준 3" xfId="6"/>
    <cellStyle name="표준 3 2" xfId="11"/>
    <cellStyle name="표준 3 2 2" xfId="136"/>
    <cellStyle name="표준 3 2 3" xfId="137"/>
    <cellStyle name="표준 3 3" xfId="138"/>
    <cellStyle name="표준 3 4" xfId="139"/>
    <cellStyle name="표준 3 5" xfId="140"/>
    <cellStyle name="표준 3 6" xfId="141"/>
    <cellStyle name="표준 3 7" xfId="142"/>
    <cellStyle name="표준 4" xfId="7"/>
    <cellStyle name="표준 4 2" xfId="12"/>
    <cellStyle name="표준 4 2 2" xfId="143"/>
    <cellStyle name="표준 4 2 3" xfId="144"/>
    <cellStyle name="표준 4 3" xfId="145"/>
    <cellStyle name="표준 4 4" xfId="146"/>
    <cellStyle name="표준 4 5" xfId="147"/>
    <cellStyle name="표준 5" xfId="1"/>
    <cellStyle name="표준 5 2" xfId="148"/>
    <cellStyle name="표준 5 3" xfId="149"/>
    <cellStyle name="표준 5 4" xfId="150"/>
    <cellStyle name="표준 5 5" xfId="151"/>
    <cellStyle name="표준 6" xfId="152"/>
    <cellStyle name="표준 6 2" xfId="153"/>
    <cellStyle name="표준 6 3" xfId="154"/>
    <cellStyle name="표준 7" xfId="155"/>
    <cellStyle name="표준 7 2" xfId="156"/>
    <cellStyle name="표준 8" xfId="157"/>
    <cellStyle name="표준 8 2" xfId="158"/>
    <cellStyle name="표준 9" xfId="159"/>
    <cellStyle name="하이퍼링크 2" xfId="16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cat>
            <c:strRef>
              <c:f>요약!$B$6:$B$10</c:f>
              <c:strCache>
                <c:ptCount val="5"/>
                <c:pt idx="0">
                  <c:v>추가</c:v>
                </c:pt>
                <c:pt idx="1">
                  <c:v>이관추가</c:v>
                </c:pt>
                <c:pt idx="2">
                  <c:v>변경</c:v>
                </c:pt>
                <c:pt idx="3">
                  <c:v>삭제</c:v>
                </c:pt>
                <c:pt idx="4">
                  <c:v>이관삭제</c:v>
                </c:pt>
              </c:strCache>
            </c:strRef>
          </c:cat>
          <c:val>
            <c:numRef>
              <c:f>요약!$C$6:$C$10</c:f>
              <c:numCache>
                <c:formatCode>General</c:formatCode>
                <c:ptCount val="5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6708224"/>
        <c:axId val="216709760"/>
        <c:axId val="0"/>
      </c:bar3DChart>
      <c:catAx>
        <c:axId val="2167082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6709760"/>
        <c:crosses val="autoZero"/>
        <c:auto val="1"/>
        <c:lblAlgn val="ctr"/>
        <c:lblOffset val="100"/>
        <c:noMultiLvlLbl val="0"/>
      </c:catAx>
      <c:valAx>
        <c:axId val="21670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708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요약!$B$15:$B$17</c:f>
              <c:strCache>
                <c:ptCount val="3"/>
                <c:pt idx="0">
                  <c:v>상</c:v>
                </c:pt>
                <c:pt idx="1">
                  <c:v>중</c:v>
                </c:pt>
                <c:pt idx="2">
                  <c:v>하</c:v>
                </c:pt>
              </c:strCache>
            </c:strRef>
          </c:cat>
          <c:val>
            <c:numRef>
              <c:f>요약!$C$15:$C$17</c:f>
              <c:numCache>
                <c:formatCode>General</c:formatCode>
                <c:ptCount val="3"/>
                <c:pt idx="0">
                  <c:v>1</c:v>
                </c:pt>
                <c:pt idx="1">
                  <c:v>62</c:v>
                </c:pt>
                <c:pt idx="2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</c:dPt>
          <c:dLbls>
            <c:dLbl>
              <c:idx val="0"/>
              <c:layout>
                <c:manualLayout>
                  <c:x val="-4.1666666666666664E-2"/>
                  <c:y val="-0.124999999999999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2.5000000000000001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2.7777777777777752E-2"/>
                  <c:y val="-9.25925925925928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103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6751104"/>
        <c:axId val="216781568"/>
        <c:axId val="0"/>
      </c:bar3DChart>
      <c:catAx>
        <c:axId val="216751104"/>
        <c:scaling>
          <c:orientation val="minMax"/>
        </c:scaling>
        <c:delete val="0"/>
        <c:axPos val="l"/>
        <c:majorTickMark val="out"/>
        <c:minorTickMark val="none"/>
        <c:tickLblPos val="nextTo"/>
        <c:crossAx val="216781568"/>
        <c:crosses val="autoZero"/>
        <c:auto val="1"/>
        <c:lblAlgn val="ctr"/>
        <c:lblOffset val="100"/>
        <c:noMultiLvlLbl val="0"/>
      </c:catAx>
      <c:valAx>
        <c:axId val="2167815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6751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FFC000"/>
              </a:solidFill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Lbls>
            <c:txPr>
              <a:bodyPr/>
              <a:lstStyle/>
              <a:p>
                <a:pPr>
                  <a:defRPr sz="1400" b="1"/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103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123825</xdr:colOff>
      <xdr:row>14</xdr:row>
      <xdr:rowOff>47624</xdr:rowOff>
    </xdr:from>
    <xdr:to>
      <xdr:col>16</xdr:col>
      <xdr:colOff>161925</xdr:colOff>
      <xdr:row>16</xdr:row>
      <xdr:rowOff>9525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575" y="5229224"/>
          <a:ext cx="923925" cy="409576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16</xdr:col>
      <xdr:colOff>0</xdr:colOff>
      <xdr:row>0</xdr:row>
      <xdr:rowOff>57150</xdr:rowOff>
    </xdr:to>
    <xdr:sp macro="" textlink="">
      <xdr:nvSpPr>
        <xdr:cNvPr id="2" name="Line 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0" y="57150"/>
          <a:ext cx="909637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95250</xdr:colOff>
      <xdr:row>28</xdr:row>
      <xdr:rowOff>0</xdr:rowOff>
    </xdr:from>
    <xdr:to>
      <xdr:col>13</xdr:col>
      <xdr:colOff>180975</xdr:colOff>
      <xdr:row>35</xdr:row>
      <xdr:rowOff>171449</xdr:rowOff>
    </xdr:to>
    <xdr:sp macro="" textlink="">
      <xdr:nvSpPr>
        <xdr:cNvPr id="3" name="Text Box 9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5250" y="5895975"/>
          <a:ext cx="7286625" cy="1638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*</a:t>
          </a:r>
          <a:r>
            <a:rPr lang="en-US" altLang="ko-KR" sz="1100" b="0" i="0" u="none" strike="noStrike" baseline="30000">
              <a:solidFill>
                <a:srgbClr val="000000"/>
              </a:solidFill>
              <a:latin typeface="+mn-ea"/>
              <a:ea typeface="+mn-ea"/>
            </a:rPr>
            <a:t>1)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버전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초안은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0.1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으로 표시 하고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검토 된 이후 승인을 득한 이후에는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1.0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부터 시작하여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정수 단위로 변경 관리 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발생 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소수점 아래 번호로 관리하고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목차 내용이 바뀔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정도의 큰 변경이 발생하면 상위 정수를 변경 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예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V1.2 : 2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번 수정됨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목차 내용이 변경되면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V2.0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이 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*</a:t>
          </a:r>
          <a:r>
            <a:rPr lang="en-US" altLang="ko-KR" sz="1100" b="0" i="0" u="none" strike="noStrike" baseline="30000">
              <a:solidFill>
                <a:srgbClr val="000000"/>
              </a:solidFill>
              <a:latin typeface="+mn-ea"/>
              <a:ea typeface="+mn-ea"/>
            </a:rPr>
            <a:t>2)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사유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내용이 이전 문서에 대해 추가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수정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삭제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승인 인지 선택 기입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*</a:t>
          </a:r>
          <a:r>
            <a:rPr lang="en-US" altLang="ko-KR" sz="1100" b="0" i="0" u="none" strike="noStrike" baseline="30000">
              <a:solidFill>
                <a:srgbClr val="000000"/>
              </a:solidFill>
              <a:latin typeface="+mn-ea"/>
              <a:ea typeface="+mn-ea"/>
            </a:rPr>
            <a:t>3)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내용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내용을 자세히 기록 </a:t>
          </a:r>
        </a:p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35</xdr:row>
      <xdr:rowOff>180975</xdr:rowOff>
    </xdr:from>
    <xdr:to>
      <xdr:col>16</xdr:col>
      <xdr:colOff>0</xdr:colOff>
      <xdr:row>35</xdr:row>
      <xdr:rowOff>180975</xdr:rowOff>
    </xdr:to>
    <xdr:sp macro="" textlink="">
      <xdr:nvSpPr>
        <xdr:cNvPr id="4" name="Line 10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0" y="7543800"/>
          <a:ext cx="90963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9525</xdr:rowOff>
    </xdr:from>
    <xdr:to>
      <xdr:col>10</xdr:col>
      <xdr:colOff>457200</xdr:colOff>
      <xdr:row>16</xdr:row>
      <xdr:rowOff>28575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</xdr:row>
      <xdr:rowOff>200025</xdr:rowOff>
    </xdr:from>
    <xdr:to>
      <xdr:col>17</xdr:col>
      <xdr:colOff>476250</xdr:colOff>
      <xdr:row>16</xdr:row>
      <xdr:rowOff>9525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19</xdr:row>
      <xdr:rowOff>0</xdr:rowOff>
    </xdr:from>
    <xdr:to>
      <xdr:col>10</xdr:col>
      <xdr:colOff>466725</xdr:colOff>
      <xdr:row>32</xdr:row>
      <xdr:rowOff>19050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18</xdr:row>
      <xdr:rowOff>200025</xdr:rowOff>
    </xdr:from>
    <xdr:to>
      <xdr:col>17</xdr:col>
      <xdr:colOff>457200</xdr:colOff>
      <xdr:row>32</xdr:row>
      <xdr:rowOff>9525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zoomScaleNormal="100" workbookViewId="0">
      <selection activeCell="A10" sqref="A10"/>
    </sheetView>
  </sheetViews>
  <sheetFormatPr defaultColWidth="9" defaultRowHeight="16.5" x14ac:dyDescent="0.3"/>
  <cols>
    <col min="1" max="8" width="2.875" style="3" customWidth="1"/>
    <col min="9" max="9" width="7.625" style="3" customWidth="1"/>
    <col min="10" max="12" width="24.375" style="3" customWidth="1"/>
    <col min="13" max="17" width="3.875" style="3" customWidth="1"/>
    <col min="18" max="16384" width="9" style="3"/>
  </cols>
  <sheetData>
    <row r="1" spans="1:17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5.5" x14ac:dyDescent="0.3">
      <c r="A2" s="11"/>
      <c r="B2" s="12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15.5" customHeight="1" x14ac:dyDescent="0.3">
      <c r="A3" s="86" t="s">
        <v>301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ht="25.5" x14ac:dyDescent="0.3">
      <c r="A4" s="11"/>
      <c r="B4" s="1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3"/>
    </row>
    <row r="5" spans="1:17" ht="25.5" x14ac:dyDescent="0.3">
      <c r="A5" s="11"/>
      <c r="B5" s="12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3"/>
    </row>
    <row r="6" spans="1:17" ht="36" thickBot="1" x14ac:dyDescent="0.45">
      <c r="A6" s="88" t="s">
        <v>300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</row>
    <row r="7" spans="1:17" ht="26.25" thickTop="1" x14ac:dyDescent="0.3">
      <c r="A7" s="11"/>
      <c r="B7" s="1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3"/>
    </row>
    <row r="8" spans="1:17" ht="25.5" x14ac:dyDescent="0.3">
      <c r="A8" s="90" t="s">
        <v>26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</row>
    <row r="9" spans="1:17" ht="20.25" x14ac:dyDescent="0.25">
      <c r="A9" s="92" t="s">
        <v>582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</row>
    <row r="10" spans="1:17" x14ac:dyDescent="0.15">
      <c r="A10" s="14"/>
      <c r="B10" s="1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15">
      <c r="A11" s="14"/>
      <c r="B11" s="1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15">
      <c r="A12" s="14"/>
      <c r="B12" s="1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25.5" x14ac:dyDescent="0.3">
      <c r="A13" s="94" t="s">
        <v>302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</row>
    <row r="14" spans="1:17" x14ac:dyDescent="0.15">
      <c r="A14" s="14"/>
      <c r="B14" s="1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8.75" x14ac:dyDescent="0.15">
      <c r="A15" s="6"/>
      <c r="B15" s="1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6"/>
      <c r="O15" s="6"/>
      <c r="P15" s="6"/>
      <c r="Q15" s="15"/>
    </row>
    <row r="16" spans="1:17" x14ac:dyDescent="0.15">
      <c r="A16" s="6"/>
      <c r="B16" s="1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6"/>
      <c r="O16" s="6"/>
      <c r="P16" s="6"/>
      <c r="Q16" s="16"/>
    </row>
    <row r="17" spans="1:17" x14ac:dyDescent="0.15">
      <c r="A17" s="6"/>
      <c r="B17" s="1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6"/>
      <c r="O17" s="6"/>
      <c r="P17" s="6"/>
      <c r="Q17" s="16"/>
    </row>
    <row r="18" spans="1:17" x14ac:dyDescent="0.15">
      <c r="A18" s="6"/>
      <c r="B18" s="1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6"/>
      <c r="O18" s="6"/>
      <c r="P18" s="6"/>
      <c r="Q18" s="16"/>
    </row>
    <row r="19" spans="1:17" x14ac:dyDescent="0.15">
      <c r="A19" s="6"/>
      <c r="B19" s="1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6"/>
      <c r="O19" s="6"/>
      <c r="P19" s="6"/>
      <c r="Q19" s="16"/>
    </row>
    <row r="20" spans="1:17" x14ac:dyDescent="0.15">
      <c r="A20" s="6"/>
      <c r="B20" s="1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6"/>
      <c r="O20" s="6"/>
      <c r="P20" s="6"/>
      <c r="Q20" s="16"/>
    </row>
    <row r="21" spans="1:17" x14ac:dyDescent="0.15">
      <c r="A21" s="6"/>
      <c r="B21" s="17"/>
      <c r="C21" s="6"/>
      <c r="D21" s="6"/>
      <c r="E21" s="16"/>
      <c r="F21" s="16"/>
      <c r="G21" s="16"/>
      <c r="H21" s="16"/>
      <c r="I21" s="16"/>
      <c r="J21" s="16"/>
      <c r="K21" s="6"/>
      <c r="L21" s="6"/>
      <c r="M21" s="16"/>
      <c r="N21" s="6"/>
      <c r="O21" s="6"/>
      <c r="P21" s="6"/>
      <c r="Q21" s="6"/>
    </row>
    <row r="22" spans="1:17" ht="29.25" customHeight="1" x14ac:dyDescent="0.15">
      <c r="A22" s="6"/>
      <c r="B22" s="17"/>
      <c r="C22" s="6"/>
      <c r="D22" s="6"/>
      <c r="E22" s="16"/>
      <c r="F22" s="16"/>
      <c r="G22" s="16"/>
      <c r="H22" s="4"/>
      <c r="I22" s="97" t="s">
        <v>8</v>
      </c>
      <c r="J22" s="42" t="s">
        <v>299</v>
      </c>
      <c r="K22" s="42" t="s">
        <v>29</v>
      </c>
      <c r="L22" s="42" t="s">
        <v>28</v>
      </c>
      <c r="M22" s="16"/>
      <c r="N22" s="6"/>
      <c r="O22" s="6"/>
      <c r="P22" s="6"/>
      <c r="Q22" s="6"/>
    </row>
    <row r="23" spans="1:17" ht="64.5" customHeight="1" x14ac:dyDescent="0.15">
      <c r="A23" s="6"/>
      <c r="B23" s="17"/>
      <c r="C23" s="6"/>
      <c r="D23" s="6"/>
      <c r="E23" s="16"/>
      <c r="F23" s="16"/>
      <c r="G23" s="16"/>
      <c r="H23" s="4"/>
      <c r="I23" s="98"/>
      <c r="J23" s="43"/>
      <c r="K23" s="43"/>
      <c r="L23" s="44"/>
      <c r="M23" s="16"/>
      <c r="N23" s="6"/>
      <c r="O23" s="6"/>
      <c r="P23" s="6"/>
      <c r="Q23" s="6"/>
    </row>
    <row r="24" spans="1:17" ht="27" customHeight="1" x14ac:dyDescent="0.15">
      <c r="A24" s="6"/>
      <c r="B24" s="17"/>
      <c r="C24" s="6"/>
      <c r="D24" s="6"/>
      <c r="E24" s="16"/>
      <c r="F24" s="16"/>
      <c r="G24" s="16"/>
      <c r="H24" s="4"/>
      <c r="I24" s="99"/>
      <c r="J24" s="45" t="s">
        <v>27</v>
      </c>
      <c r="K24" s="45" t="s">
        <v>30</v>
      </c>
      <c r="L24" s="45" t="s">
        <v>30</v>
      </c>
      <c r="M24" s="16"/>
      <c r="N24" s="6"/>
      <c r="O24" s="6"/>
      <c r="P24" s="6"/>
      <c r="Q24" s="6"/>
    </row>
    <row r="25" spans="1:17" x14ac:dyDescent="0.15">
      <c r="A25" s="6"/>
      <c r="B25" s="17"/>
      <c r="C25" s="6"/>
      <c r="D25" s="6"/>
      <c r="E25" s="16"/>
      <c r="F25" s="16"/>
      <c r="G25" s="16"/>
      <c r="H25" s="16"/>
      <c r="I25" s="16"/>
      <c r="J25" s="16"/>
      <c r="K25" s="6"/>
      <c r="L25" s="6"/>
      <c r="M25" s="16"/>
      <c r="N25" s="6"/>
      <c r="O25" s="6"/>
      <c r="P25" s="6"/>
      <c r="Q25" s="6"/>
    </row>
    <row r="26" spans="1:17" x14ac:dyDescent="0.15">
      <c r="A26" s="6"/>
      <c r="B26" s="17"/>
      <c r="C26" s="6"/>
      <c r="D26" s="6"/>
      <c r="E26" s="16"/>
      <c r="F26" s="16"/>
      <c r="G26" s="16"/>
      <c r="H26" s="16"/>
      <c r="I26" s="16"/>
      <c r="J26" s="16"/>
      <c r="K26" s="6"/>
      <c r="L26" s="6"/>
      <c r="M26" s="16"/>
      <c r="N26" s="6"/>
      <c r="O26" s="6"/>
      <c r="P26" s="6"/>
      <c r="Q26" s="6"/>
    </row>
    <row r="27" spans="1:17" x14ac:dyDescent="0.15">
      <c r="A27" s="6"/>
      <c r="B27" s="17"/>
      <c r="C27" s="6"/>
      <c r="D27" s="6"/>
      <c r="E27" s="16"/>
      <c r="F27" s="16"/>
      <c r="G27" s="16"/>
      <c r="H27" s="16"/>
      <c r="I27" s="16"/>
      <c r="J27" s="16"/>
      <c r="K27" s="6"/>
      <c r="L27" s="6"/>
      <c r="M27" s="16"/>
      <c r="N27" s="6"/>
      <c r="O27" s="6"/>
      <c r="P27" s="6"/>
      <c r="Q27" s="6"/>
    </row>
    <row r="28" spans="1:17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15">
      <c r="A29" s="96" t="s">
        <v>23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</row>
    <row r="30" spans="1:17" x14ac:dyDescent="0.15">
      <c r="A30" s="85" t="s">
        <v>24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</sheetData>
  <mergeCells count="8">
    <mergeCell ref="A30:Q30"/>
    <mergeCell ref="A3:Q3"/>
    <mergeCell ref="A6:Q6"/>
    <mergeCell ref="A8:Q8"/>
    <mergeCell ref="A9:Q9"/>
    <mergeCell ref="A13:Q13"/>
    <mergeCell ref="A29:Q29"/>
    <mergeCell ref="I22:I24"/>
  </mergeCells>
  <phoneticPr fontId="1" type="noConversion"/>
  <pageMargins left="0.7" right="0.7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O11" sqref="O11"/>
    </sheetView>
  </sheetViews>
  <sheetFormatPr defaultColWidth="9" defaultRowHeight="16.5" x14ac:dyDescent="0.3"/>
  <cols>
    <col min="1" max="1" width="4.375" style="3" customWidth="1"/>
    <col min="2" max="2" width="7" style="3" customWidth="1"/>
    <col min="3" max="3" width="9" style="3"/>
    <col min="4" max="4" width="12.25" style="3" customWidth="1"/>
    <col min="5" max="14" width="6.875" style="3" customWidth="1"/>
    <col min="15" max="16384" width="9" style="3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8.75" x14ac:dyDescent="0.3">
      <c r="A2" s="111" t="s">
        <v>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10" t="s">
        <v>1</v>
      </c>
      <c r="B4" s="10" t="s">
        <v>6</v>
      </c>
      <c r="C4" s="10" t="s">
        <v>7</v>
      </c>
      <c r="D4" s="10" t="s">
        <v>10</v>
      </c>
      <c r="E4" s="112" t="s">
        <v>9</v>
      </c>
      <c r="F4" s="113"/>
      <c r="G4" s="113"/>
      <c r="H4" s="113"/>
      <c r="I4" s="113"/>
      <c r="J4" s="113"/>
      <c r="K4" s="113"/>
      <c r="L4" s="113"/>
      <c r="M4" s="113"/>
      <c r="N4" s="114"/>
      <c r="O4" s="10" t="s">
        <v>2</v>
      </c>
      <c r="P4" s="10" t="s">
        <v>3</v>
      </c>
    </row>
    <row r="5" spans="1:16" x14ac:dyDescent="0.3">
      <c r="A5" s="7">
        <v>1</v>
      </c>
      <c r="B5" s="8" t="s">
        <v>25</v>
      </c>
      <c r="C5" s="7" t="s">
        <v>303</v>
      </c>
      <c r="D5" s="7" t="s">
        <v>4</v>
      </c>
      <c r="E5" s="109" t="s">
        <v>5</v>
      </c>
      <c r="F5" s="107"/>
      <c r="G5" s="107"/>
      <c r="H5" s="107"/>
      <c r="I5" s="107"/>
      <c r="J5" s="107"/>
      <c r="K5" s="107"/>
      <c r="L5" s="107"/>
      <c r="M5" s="107"/>
      <c r="N5" s="108"/>
      <c r="O5" s="7" t="s">
        <v>477</v>
      </c>
      <c r="P5" s="7"/>
    </row>
    <row r="6" spans="1:16" x14ac:dyDescent="0.3">
      <c r="A6" s="7">
        <v>2</v>
      </c>
      <c r="B6" s="8" t="s">
        <v>478</v>
      </c>
      <c r="C6" s="7" t="s">
        <v>472</v>
      </c>
      <c r="D6" s="7" t="s">
        <v>473</v>
      </c>
      <c r="E6" s="110" t="s">
        <v>469</v>
      </c>
      <c r="F6" s="107"/>
      <c r="G6" s="107"/>
      <c r="H6" s="107"/>
      <c r="I6" s="107"/>
      <c r="J6" s="107"/>
      <c r="K6" s="107"/>
      <c r="L6" s="107"/>
      <c r="M6" s="107"/>
      <c r="N6" s="108"/>
      <c r="O6" s="7" t="s">
        <v>477</v>
      </c>
      <c r="P6" s="7"/>
    </row>
    <row r="7" spans="1:16" x14ac:dyDescent="0.3">
      <c r="A7" s="7">
        <v>3</v>
      </c>
      <c r="B7" s="8" t="s">
        <v>479</v>
      </c>
      <c r="C7" s="7" t="s">
        <v>472</v>
      </c>
      <c r="D7" s="7" t="s">
        <v>473</v>
      </c>
      <c r="E7" s="110" t="s">
        <v>471</v>
      </c>
      <c r="F7" s="107"/>
      <c r="G7" s="107"/>
      <c r="H7" s="107"/>
      <c r="I7" s="107"/>
      <c r="J7" s="107"/>
      <c r="K7" s="107"/>
      <c r="L7" s="107"/>
      <c r="M7" s="107"/>
      <c r="N7" s="108"/>
      <c r="O7" s="7" t="s">
        <v>477</v>
      </c>
      <c r="P7" s="7"/>
    </row>
    <row r="8" spans="1:16" x14ac:dyDescent="0.3">
      <c r="A8" s="7">
        <v>4</v>
      </c>
      <c r="B8" s="8" t="s">
        <v>480</v>
      </c>
      <c r="C8" s="7" t="s">
        <v>474</v>
      </c>
      <c r="D8" s="7" t="s">
        <v>475</v>
      </c>
      <c r="E8" s="110" t="s">
        <v>476</v>
      </c>
      <c r="F8" s="107"/>
      <c r="G8" s="107"/>
      <c r="H8" s="107"/>
      <c r="I8" s="107"/>
      <c r="J8" s="107"/>
      <c r="K8" s="107"/>
      <c r="L8" s="107"/>
      <c r="M8" s="107"/>
      <c r="N8" s="108"/>
      <c r="O8" s="7" t="s">
        <v>477</v>
      </c>
      <c r="P8" s="7"/>
    </row>
    <row r="9" spans="1:16" x14ac:dyDescent="0.3">
      <c r="A9" s="7">
        <v>5</v>
      </c>
      <c r="B9" s="8" t="s">
        <v>481</v>
      </c>
      <c r="C9" s="7" t="s">
        <v>482</v>
      </c>
      <c r="D9" s="7" t="s">
        <v>483</v>
      </c>
      <c r="E9" s="106" t="s">
        <v>484</v>
      </c>
      <c r="F9" s="107"/>
      <c r="G9" s="107"/>
      <c r="H9" s="107"/>
      <c r="I9" s="107"/>
      <c r="J9" s="107"/>
      <c r="K9" s="107"/>
      <c r="L9" s="107"/>
      <c r="M9" s="107"/>
      <c r="N9" s="108"/>
      <c r="O9" s="7" t="s">
        <v>485</v>
      </c>
      <c r="P9" s="7"/>
    </row>
    <row r="10" spans="1:16" x14ac:dyDescent="0.3">
      <c r="A10" s="7">
        <v>6</v>
      </c>
      <c r="B10" s="8" t="s">
        <v>521</v>
      </c>
      <c r="C10" s="7" t="s">
        <v>522</v>
      </c>
      <c r="D10" s="7" t="s">
        <v>523</v>
      </c>
      <c r="E10" s="106" t="s">
        <v>524</v>
      </c>
      <c r="F10" s="107"/>
      <c r="G10" s="107"/>
      <c r="H10" s="107"/>
      <c r="I10" s="107"/>
      <c r="J10" s="107"/>
      <c r="K10" s="107"/>
      <c r="L10" s="107"/>
      <c r="M10" s="107"/>
      <c r="N10" s="108"/>
      <c r="O10" s="7" t="s">
        <v>525</v>
      </c>
      <c r="P10" s="7"/>
    </row>
    <row r="11" spans="1:16" ht="16.5" customHeight="1" x14ac:dyDescent="0.3">
      <c r="A11" s="7">
        <v>7</v>
      </c>
      <c r="B11" s="8" t="s">
        <v>583</v>
      </c>
      <c r="C11" s="7" t="s">
        <v>584</v>
      </c>
      <c r="D11" s="7" t="s">
        <v>585</v>
      </c>
      <c r="E11" s="106" t="s">
        <v>586</v>
      </c>
      <c r="F11" s="107"/>
      <c r="G11" s="107"/>
      <c r="H11" s="107"/>
      <c r="I11" s="107"/>
      <c r="J11" s="107"/>
      <c r="K11" s="107"/>
      <c r="L11" s="107"/>
      <c r="M11" s="107"/>
      <c r="N11" s="108"/>
      <c r="O11" s="7" t="s">
        <v>587</v>
      </c>
      <c r="P11" s="7"/>
    </row>
    <row r="12" spans="1:16" x14ac:dyDescent="0.3">
      <c r="A12" s="7"/>
      <c r="B12" s="8"/>
      <c r="C12" s="7"/>
      <c r="D12" s="7"/>
      <c r="E12" s="106"/>
      <c r="F12" s="107"/>
      <c r="G12" s="107"/>
      <c r="H12" s="107"/>
      <c r="I12" s="107"/>
      <c r="J12" s="107"/>
      <c r="K12" s="107"/>
      <c r="L12" s="107"/>
      <c r="M12" s="107"/>
      <c r="N12" s="108"/>
      <c r="O12" s="7"/>
      <c r="P12" s="7"/>
    </row>
    <row r="13" spans="1:16" x14ac:dyDescent="0.3">
      <c r="A13" s="7"/>
      <c r="B13" s="8"/>
      <c r="C13" s="7"/>
      <c r="D13" s="7"/>
      <c r="E13" s="109"/>
      <c r="F13" s="107"/>
      <c r="G13" s="107"/>
      <c r="H13" s="107"/>
      <c r="I13" s="107"/>
      <c r="J13" s="107"/>
      <c r="K13" s="107"/>
      <c r="L13" s="107"/>
      <c r="M13" s="107"/>
      <c r="N13" s="108"/>
      <c r="O13" s="7"/>
      <c r="P13" s="7"/>
    </row>
    <row r="14" spans="1:16" x14ac:dyDescent="0.3">
      <c r="A14" s="7"/>
      <c r="B14" s="8"/>
      <c r="C14" s="7"/>
      <c r="D14" s="7"/>
      <c r="E14" s="109"/>
      <c r="F14" s="107"/>
      <c r="G14" s="107"/>
      <c r="H14" s="107"/>
      <c r="I14" s="107"/>
      <c r="J14" s="107"/>
      <c r="K14" s="107"/>
      <c r="L14" s="107"/>
      <c r="M14" s="107"/>
      <c r="N14" s="108"/>
      <c r="O14" s="7"/>
      <c r="P14" s="7"/>
    </row>
    <row r="15" spans="1:16" x14ac:dyDescent="0.3">
      <c r="A15" s="7"/>
      <c r="B15" s="8"/>
      <c r="C15" s="7"/>
      <c r="D15" s="7"/>
      <c r="E15" s="109"/>
      <c r="F15" s="107"/>
      <c r="G15" s="107"/>
      <c r="H15" s="107"/>
      <c r="I15" s="107"/>
      <c r="J15" s="107"/>
      <c r="K15" s="107"/>
      <c r="L15" s="107"/>
      <c r="M15" s="107"/>
      <c r="N15" s="108"/>
      <c r="O15" s="7"/>
      <c r="P15" s="7"/>
    </row>
    <row r="16" spans="1:16" x14ac:dyDescent="0.3">
      <c r="A16" s="7"/>
      <c r="B16" s="8"/>
      <c r="C16" s="7"/>
      <c r="D16" s="7"/>
      <c r="E16" s="109"/>
      <c r="F16" s="107"/>
      <c r="G16" s="107"/>
      <c r="H16" s="107"/>
      <c r="I16" s="107"/>
      <c r="J16" s="107"/>
      <c r="K16" s="107"/>
      <c r="L16" s="107"/>
      <c r="M16" s="107"/>
      <c r="N16" s="108"/>
      <c r="O16" s="7"/>
      <c r="P16" s="7"/>
    </row>
    <row r="17" spans="1:16" x14ac:dyDescent="0.3">
      <c r="A17" s="7"/>
      <c r="B17" s="8"/>
      <c r="C17" s="7"/>
      <c r="D17" s="7"/>
      <c r="E17" s="103"/>
      <c r="F17" s="104"/>
      <c r="G17" s="104"/>
      <c r="H17" s="104"/>
      <c r="I17" s="104"/>
      <c r="J17" s="104"/>
      <c r="K17" s="104"/>
      <c r="L17" s="104"/>
      <c r="M17" s="104"/>
      <c r="N17" s="105"/>
      <c r="O17" s="7"/>
      <c r="P17" s="7"/>
    </row>
    <row r="18" spans="1:16" x14ac:dyDescent="0.3">
      <c r="A18" s="7"/>
      <c r="B18" s="8"/>
      <c r="C18" s="7"/>
      <c r="D18" s="7"/>
      <c r="E18" s="103"/>
      <c r="F18" s="104"/>
      <c r="G18" s="104"/>
      <c r="H18" s="104"/>
      <c r="I18" s="104"/>
      <c r="J18" s="104"/>
      <c r="K18" s="104"/>
      <c r="L18" s="104"/>
      <c r="M18" s="104"/>
      <c r="N18" s="105"/>
      <c r="O18" s="7"/>
      <c r="P18" s="7"/>
    </row>
    <row r="19" spans="1:16" x14ac:dyDescent="0.3">
      <c r="A19" s="7"/>
      <c r="B19" s="8"/>
      <c r="C19" s="7"/>
      <c r="D19" s="7"/>
      <c r="E19" s="103"/>
      <c r="F19" s="104"/>
      <c r="G19" s="104"/>
      <c r="H19" s="104"/>
      <c r="I19" s="104"/>
      <c r="J19" s="104"/>
      <c r="K19" s="104"/>
      <c r="L19" s="104"/>
      <c r="M19" s="104"/>
      <c r="N19" s="105"/>
      <c r="O19" s="7"/>
      <c r="P19" s="7"/>
    </row>
    <row r="20" spans="1:16" x14ac:dyDescent="0.3">
      <c r="A20" s="7"/>
      <c r="B20" s="8"/>
      <c r="C20" s="7"/>
      <c r="D20" s="7"/>
      <c r="E20" s="103"/>
      <c r="F20" s="104"/>
      <c r="G20" s="104"/>
      <c r="H20" s="104"/>
      <c r="I20" s="104"/>
      <c r="J20" s="104"/>
      <c r="K20" s="104"/>
      <c r="L20" s="104"/>
      <c r="M20" s="104"/>
      <c r="N20" s="105"/>
      <c r="O20" s="7"/>
      <c r="P20" s="7"/>
    </row>
    <row r="21" spans="1:16" x14ac:dyDescent="0.3">
      <c r="A21" s="7"/>
      <c r="B21" s="8"/>
      <c r="C21" s="7"/>
      <c r="D21" s="7"/>
      <c r="E21" s="100"/>
      <c r="F21" s="101"/>
      <c r="G21" s="101"/>
      <c r="H21" s="101"/>
      <c r="I21" s="101"/>
      <c r="J21" s="101"/>
      <c r="K21" s="101"/>
      <c r="L21" s="101"/>
      <c r="M21" s="101"/>
      <c r="N21" s="102"/>
      <c r="O21" s="7"/>
      <c r="P21" s="7"/>
    </row>
    <row r="22" spans="1:16" x14ac:dyDescent="0.3">
      <c r="A22" s="7"/>
      <c r="B22" s="8"/>
      <c r="C22" s="7"/>
      <c r="D22" s="7"/>
      <c r="E22" s="100"/>
      <c r="F22" s="101"/>
      <c r="G22" s="101"/>
      <c r="H22" s="101"/>
      <c r="I22" s="101"/>
      <c r="J22" s="101"/>
      <c r="K22" s="101"/>
      <c r="L22" s="101"/>
      <c r="M22" s="101"/>
      <c r="N22" s="102"/>
      <c r="O22" s="7"/>
      <c r="P22" s="7"/>
    </row>
    <row r="23" spans="1:16" x14ac:dyDescent="0.3">
      <c r="A23" s="7"/>
      <c r="B23" s="8"/>
      <c r="C23" s="7"/>
      <c r="D23" s="7"/>
      <c r="E23" s="100"/>
      <c r="F23" s="101"/>
      <c r="G23" s="101"/>
      <c r="H23" s="101"/>
      <c r="I23" s="101"/>
      <c r="J23" s="101"/>
      <c r="K23" s="101"/>
      <c r="L23" s="101"/>
      <c r="M23" s="101"/>
      <c r="N23" s="102"/>
      <c r="O23" s="7"/>
      <c r="P23" s="7"/>
    </row>
    <row r="24" spans="1:16" x14ac:dyDescent="0.3">
      <c r="A24" s="9"/>
      <c r="B24" s="9"/>
      <c r="C24" s="9"/>
      <c r="D24" s="7"/>
      <c r="E24" s="100"/>
      <c r="F24" s="101"/>
      <c r="G24" s="101"/>
      <c r="H24" s="101"/>
      <c r="I24" s="101"/>
      <c r="J24" s="101"/>
      <c r="K24" s="101"/>
      <c r="L24" s="101"/>
      <c r="M24" s="101"/>
      <c r="N24" s="102"/>
      <c r="O24" s="7"/>
      <c r="P24" s="9"/>
    </row>
    <row r="25" spans="1:16" x14ac:dyDescent="0.3">
      <c r="A25" s="9"/>
      <c r="B25" s="9"/>
      <c r="C25" s="9"/>
      <c r="D25" s="7"/>
      <c r="E25" s="100"/>
      <c r="F25" s="101"/>
      <c r="G25" s="101"/>
      <c r="H25" s="101"/>
      <c r="I25" s="101"/>
      <c r="J25" s="101"/>
      <c r="K25" s="101"/>
      <c r="L25" s="101"/>
      <c r="M25" s="101"/>
      <c r="N25" s="102"/>
      <c r="O25" s="7"/>
      <c r="P25" s="9"/>
    </row>
    <row r="26" spans="1:16" x14ac:dyDescent="0.3">
      <c r="A26" s="9"/>
      <c r="B26" s="9"/>
      <c r="C26" s="9"/>
      <c r="D26" s="7"/>
      <c r="E26" s="100"/>
      <c r="F26" s="101"/>
      <c r="G26" s="101"/>
      <c r="H26" s="101"/>
      <c r="I26" s="101"/>
      <c r="J26" s="101"/>
      <c r="K26" s="101"/>
      <c r="L26" s="101"/>
      <c r="M26" s="101"/>
      <c r="N26" s="102"/>
      <c r="O26" s="7"/>
      <c r="P26" s="9"/>
    </row>
    <row r="27" spans="1:16" x14ac:dyDescent="0.3">
      <c r="A27" s="9"/>
      <c r="B27" s="9"/>
      <c r="C27" s="9"/>
      <c r="D27" s="7"/>
      <c r="E27" s="100"/>
      <c r="F27" s="101"/>
      <c r="G27" s="101"/>
      <c r="H27" s="101"/>
      <c r="I27" s="101"/>
      <c r="J27" s="101"/>
      <c r="K27" s="101"/>
      <c r="L27" s="101"/>
      <c r="M27" s="101"/>
      <c r="N27" s="102"/>
      <c r="O27" s="7"/>
      <c r="P27" s="9"/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</sheetData>
  <mergeCells count="25">
    <mergeCell ref="E8:N8"/>
    <mergeCell ref="A2:P2"/>
    <mergeCell ref="E4:N4"/>
    <mergeCell ref="E5:N5"/>
    <mergeCell ref="E6:N6"/>
    <mergeCell ref="E7:N7"/>
    <mergeCell ref="E20:N20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7:N27"/>
    <mergeCell ref="E21:N21"/>
    <mergeCell ref="E22:N22"/>
    <mergeCell ref="E23:N23"/>
    <mergeCell ref="E24:N24"/>
    <mergeCell ref="E25:N25"/>
    <mergeCell ref="E26:N2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20" sqref="B20"/>
    </sheetView>
  </sheetViews>
  <sheetFormatPr defaultRowHeight="16.5" x14ac:dyDescent="0.3"/>
  <cols>
    <col min="1" max="1" width="19.625" customWidth="1"/>
    <col min="2" max="2" width="105.375" customWidth="1"/>
  </cols>
  <sheetData>
    <row r="1" spans="1:2" ht="24.75" customHeight="1" x14ac:dyDescent="0.3">
      <c r="A1" s="115" t="s">
        <v>304</v>
      </c>
      <c r="B1" s="115"/>
    </row>
    <row r="2" spans="1:2" ht="24.75" customHeight="1" x14ac:dyDescent="0.3">
      <c r="A2" s="19" t="s">
        <v>305</v>
      </c>
      <c r="B2" s="18" t="s">
        <v>306</v>
      </c>
    </row>
    <row r="3" spans="1:2" ht="23.25" customHeight="1" x14ac:dyDescent="0.3">
      <c r="A3" s="21" t="s">
        <v>11</v>
      </c>
      <c r="B3" s="46" t="s">
        <v>307</v>
      </c>
    </row>
    <row r="4" spans="1:2" ht="24.75" customHeight="1" x14ac:dyDescent="0.3">
      <c r="A4" s="21" t="s">
        <v>308</v>
      </c>
      <c r="B4" s="21" t="s">
        <v>309</v>
      </c>
    </row>
    <row r="5" spans="1:2" ht="24.75" customHeight="1" x14ac:dyDescent="0.3">
      <c r="A5" s="21" t="s">
        <v>310</v>
      </c>
      <c r="B5" s="21" t="s">
        <v>311</v>
      </c>
    </row>
    <row r="6" spans="1:2" ht="24.75" customHeight="1" x14ac:dyDescent="0.3">
      <c r="A6" s="21" t="s">
        <v>312</v>
      </c>
      <c r="B6" s="21" t="s">
        <v>313</v>
      </c>
    </row>
    <row r="7" spans="1:2" ht="46.5" customHeight="1" x14ac:dyDescent="0.3">
      <c r="A7" s="21" t="s">
        <v>314</v>
      </c>
      <c r="B7" s="23" t="s">
        <v>315</v>
      </c>
    </row>
    <row r="8" spans="1:2" ht="33" customHeight="1" x14ac:dyDescent="0.3">
      <c r="A8" s="21" t="s">
        <v>316</v>
      </c>
      <c r="B8" s="25" t="s">
        <v>317</v>
      </c>
    </row>
    <row r="9" spans="1:2" ht="27.75" customHeight="1" x14ac:dyDescent="0.3">
      <c r="A9" s="21" t="s">
        <v>318</v>
      </c>
      <c r="B9" s="21" t="s">
        <v>319</v>
      </c>
    </row>
    <row r="10" spans="1:2" ht="27.75" customHeight="1" x14ac:dyDescent="0.3">
      <c r="A10" s="21" t="s">
        <v>12</v>
      </c>
      <c r="B10" s="23" t="s">
        <v>320</v>
      </c>
    </row>
    <row r="11" spans="1:2" ht="27.75" customHeight="1" x14ac:dyDescent="0.3">
      <c r="A11" s="21" t="s">
        <v>321</v>
      </c>
      <c r="B11" s="21" t="s">
        <v>322</v>
      </c>
    </row>
    <row r="12" spans="1:2" ht="34.5" customHeight="1" x14ac:dyDescent="0.3">
      <c r="A12" s="24" t="s">
        <v>324</v>
      </c>
      <c r="B12" s="23" t="s">
        <v>13</v>
      </c>
    </row>
    <row r="13" spans="1:2" ht="27.75" customHeight="1" x14ac:dyDescent="0.3">
      <c r="A13" s="24" t="s">
        <v>14</v>
      </c>
      <c r="B13" s="25" t="s">
        <v>325</v>
      </c>
    </row>
    <row r="14" spans="1:2" ht="24.75" customHeight="1" x14ac:dyDescent="0.3">
      <c r="A14" s="24" t="s">
        <v>15</v>
      </c>
      <c r="B14" s="23" t="s">
        <v>326</v>
      </c>
    </row>
    <row r="15" spans="1:2" ht="24.75" customHeight="1" x14ac:dyDescent="0.3">
      <c r="A15" s="21" t="s">
        <v>16</v>
      </c>
      <c r="B15" s="21" t="s">
        <v>17</v>
      </c>
    </row>
    <row r="16" spans="1:2" ht="24" customHeight="1" x14ac:dyDescent="0.3">
      <c r="A16" s="21" t="s">
        <v>18</v>
      </c>
      <c r="B16" s="21" t="s">
        <v>19</v>
      </c>
    </row>
    <row r="17" spans="1:2" ht="24" customHeight="1" x14ac:dyDescent="0.3">
      <c r="A17" s="21" t="s">
        <v>20</v>
      </c>
      <c r="B17" s="21" t="s">
        <v>21</v>
      </c>
    </row>
    <row r="18" spans="1:2" ht="27" x14ac:dyDescent="0.3">
      <c r="A18" s="22" t="s">
        <v>327</v>
      </c>
      <c r="B18" s="23" t="s">
        <v>328</v>
      </c>
    </row>
    <row r="19" spans="1:2" ht="24.75" customHeight="1" x14ac:dyDescent="0.3">
      <c r="A19" s="22" t="s">
        <v>329</v>
      </c>
      <c r="B19" s="24" t="s">
        <v>330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R105"/>
  <sheetViews>
    <sheetView tabSelected="1" zoomScale="80" zoomScaleNormal="80" workbookViewId="0">
      <pane ySplit="1" topLeftCell="A98" activePane="bottomLeft" state="frozen"/>
      <selection pane="bottomLeft" activeCell="A105" sqref="A105"/>
    </sheetView>
  </sheetViews>
  <sheetFormatPr defaultColWidth="9" defaultRowHeight="13.5" x14ac:dyDescent="0.3"/>
  <cols>
    <col min="1" max="1" width="9.375" style="30" customWidth="1"/>
    <col min="2" max="2" width="14.625" style="31" customWidth="1"/>
    <col min="3" max="3" width="11.75" style="30" customWidth="1"/>
    <col min="4" max="4" width="15.25" style="30" customWidth="1"/>
    <col min="5" max="5" width="12.625" style="31" customWidth="1"/>
    <col min="6" max="6" width="17" style="32" customWidth="1"/>
    <col min="7" max="7" width="18" style="30" bestFit="1" customWidth="1"/>
    <col min="8" max="8" width="17.75" style="31" customWidth="1"/>
    <col min="9" max="9" width="45" style="30" customWidth="1"/>
    <col min="10" max="10" width="42.625" style="32" customWidth="1"/>
    <col min="11" max="11" width="12.875" style="32" customWidth="1"/>
    <col min="12" max="12" width="11" style="32" customWidth="1"/>
    <col min="13" max="13" width="50.375" style="32" customWidth="1"/>
    <col min="14" max="14" width="6.75" style="30" customWidth="1"/>
    <col min="15" max="16" width="9.625" style="30" customWidth="1"/>
    <col min="17" max="17" width="8" style="30" customWidth="1"/>
    <col min="18" max="18" width="26.875" style="32" customWidth="1"/>
    <col min="19" max="16384" width="9" style="1"/>
  </cols>
  <sheetData>
    <row r="1" spans="1:18" s="2" customFormat="1" ht="45" customHeight="1" x14ac:dyDescent="0.3">
      <c r="A1" s="26" t="s">
        <v>331</v>
      </c>
      <c r="B1" s="27" t="s">
        <v>332</v>
      </c>
      <c r="C1" s="26" t="s">
        <v>333</v>
      </c>
      <c r="D1" s="26" t="s">
        <v>334</v>
      </c>
      <c r="E1" s="26" t="s">
        <v>335</v>
      </c>
      <c r="F1" s="26" t="s">
        <v>336</v>
      </c>
      <c r="G1" s="26" t="s">
        <v>337</v>
      </c>
      <c r="H1" s="28" t="s">
        <v>338</v>
      </c>
      <c r="I1" s="28" t="s">
        <v>22</v>
      </c>
      <c r="J1" s="26" t="s">
        <v>323</v>
      </c>
      <c r="K1" s="26" t="s">
        <v>339</v>
      </c>
      <c r="L1" s="26" t="s">
        <v>340</v>
      </c>
      <c r="M1" s="26" t="s">
        <v>341</v>
      </c>
      <c r="N1" s="28" t="s">
        <v>342</v>
      </c>
      <c r="O1" s="28" t="s">
        <v>343</v>
      </c>
      <c r="P1" s="28" t="s">
        <v>344</v>
      </c>
      <c r="Q1" s="26" t="s">
        <v>345</v>
      </c>
      <c r="R1" s="26" t="s">
        <v>346</v>
      </c>
    </row>
    <row r="2" spans="1:18" s="20" customFormat="1" ht="27" x14ac:dyDescent="0.3">
      <c r="A2" s="29" t="s">
        <v>379</v>
      </c>
      <c r="B2" s="29" t="s">
        <v>468</v>
      </c>
      <c r="C2" s="29" t="s">
        <v>31</v>
      </c>
      <c r="D2" s="34" t="s">
        <v>32</v>
      </c>
      <c r="E2" s="29"/>
      <c r="F2" s="35" t="s">
        <v>347</v>
      </c>
      <c r="G2" s="33" t="s">
        <v>33</v>
      </c>
      <c r="H2" s="29" t="s">
        <v>34</v>
      </c>
      <c r="I2" s="36" t="s">
        <v>35</v>
      </c>
      <c r="J2" s="38" t="s">
        <v>42</v>
      </c>
      <c r="K2" s="40"/>
      <c r="L2" s="41" t="s">
        <v>487</v>
      </c>
      <c r="M2" s="38" t="s">
        <v>42</v>
      </c>
      <c r="N2" s="29" t="s">
        <v>368</v>
      </c>
      <c r="O2" s="29" t="s">
        <v>372</v>
      </c>
      <c r="P2" s="29" t="s">
        <v>373</v>
      </c>
      <c r="Q2" s="29" t="s">
        <v>376</v>
      </c>
      <c r="R2" s="35"/>
    </row>
    <row r="3" spans="1:18" s="20" customFormat="1" ht="40.5" x14ac:dyDescent="0.3">
      <c r="A3" s="29" t="s">
        <v>380</v>
      </c>
      <c r="B3" s="29" t="s">
        <v>468</v>
      </c>
      <c r="C3" s="29" t="s">
        <v>31</v>
      </c>
      <c r="D3" s="34" t="s">
        <v>32</v>
      </c>
      <c r="E3" s="29"/>
      <c r="F3" s="35" t="s">
        <v>347</v>
      </c>
      <c r="G3" s="33" t="s">
        <v>33</v>
      </c>
      <c r="H3" s="29" t="s">
        <v>39</v>
      </c>
      <c r="I3" s="36" t="s">
        <v>36</v>
      </c>
      <c r="J3" s="38" t="s">
        <v>43</v>
      </c>
      <c r="K3" s="40" t="s">
        <v>526</v>
      </c>
      <c r="L3" s="41" t="s">
        <v>486</v>
      </c>
      <c r="M3" s="38" t="s">
        <v>43</v>
      </c>
      <c r="N3" s="29" t="s">
        <v>369</v>
      </c>
      <c r="O3" s="29" t="s">
        <v>374</v>
      </c>
      <c r="P3" s="29" t="s">
        <v>373</v>
      </c>
      <c r="Q3" s="29" t="s">
        <v>376</v>
      </c>
      <c r="R3" s="35"/>
    </row>
    <row r="4" spans="1:18" s="20" customFormat="1" ht="54" x14ac:dyDescent="0.3">
      <c r="A4" s="70" t="s">
        <v>381</v>
      </c>
      <c r="B4" s="70" t="s">
        <v>468</v>
      </c>
      <c r="C4" s="70" t="s">
        <v>31</v>
      </c>
      <c r="D4" s="71" t="s">
        <v>32</v>
      </c>
      <c r="E4" s="70" t="s">
        <v>375</v>
      </c>
      <c r="F4" s="72" t="s">
        <v>347</v>
      </c>
      <c r="G4" s="73" t="s">
        <v>470</v>
      </c>
      <c r="H4" s="70" t="s">
        <v>41</v>
      </c>
      <c r="I4" s="74" t="s">
        <v>37</v>
      </c>
      <c r="J4" s="75" t="s">
        <v>44</v>
      </c>
      <c r="K4" s="76"/>
      <c r="L4" s="77"/>
      <c r="M4" s="75" t="s">
        <v>44</v>
      </c>
      <c r="N4" s="70" t="s">
        <v>369</v>
      </c>
      <c r="O4" s="70" t="s">
        <v>374</v>
      </c>
      <c r="P4" s="70" t="s">
        <v>373</v>
      </c>
      <c r="Q4" s="70" t="s">
        <v>378</v>
      </c>
      <c r="R4" s="72" t="s">
        <v>489</v>
      </c>
    </row>
    <row r="5" spans="1:18" s="20" customFormat="1" ht="46.5" customHeight="1" x14ac:dyDescent="0.3">
      <c r="A5" s="29" t="s">
        <v>382</v>
      </c>
      <c r="B5" s="29" t="s">
        <v>468</v>
      </c>
      <c r="C5" s="29" t="s">
        <v>31</v>
      </c>
      <c r="D5" s="34" t="s">
        <v>32</v>
      </c>
      <c r="E5" s="29"/>
      <c r="F5" s="35" t="s">
        <v>347</v>
      </c>
      <c r="G5" s="36" t="s">
        <v>33</v>
      </c>
      <c r="H5" s="29" t="s">
        <v>40</v>
      </c>
      <c r="I5" s="36" t="s">
        <v>38</v>
      </c>
      <c r="J5" s="38" t="s">
        <v>45</v>
      </c>
      <c r="K5" s="40"/>
      <c r="L5" s="41" t="s">
        <v>486</v>
      </c>
      <c r="M5" s="38" t="s">
        <v>45</v>
      </c>
      <c r="N5" s="29" t="s">
        <v>370</v>
      </c>
      <c r="O5" s="29" t="s">
        <v>374</v>
      </c>
      <c r="P5" s="29" t="s">
        <v>373</v>
      </c>
      <c r="Q5" s="29" t="s">
        <v>376</v>
      </c>
      <c r="R5" s="35"/>
    </row>
    <row r="6" spans="1:18" s="20" customFormat="1" ht="33" customHeight="1" x14ac:dyDescent="0.3">
      <c r="A6" s="29" t="s">
        <v>383</v>
      </c>
      <c r="B6" s="29" t="s">
        <v>468</v>
      </c>
      <c r="C6" s="29" t="s">
        <v>31</v>
      </c>
      <c r="D6" s="34" t="s">
        <v>46</v>
      </c>
      <c r="E6" s="29"/>
      <c r="F6" s="35" t="s">
        <v>347</v>
      </c>
      <c r="G6" s="36" t="s">
        <v>47</v>
      </c>
      <c r="H6" s="29" t="s">
        <v>48</v>
      </c>
      <c r="I6" s="36" t="s">
        <v>35</v>
      </c>
      <c r="J6" s="38" t="s">
        <v>42</v>
      </c>
      <c r="K6" s="40"/>
      <c r="L6" s="41" t="s">
        <v>486</v>
      </c>
      <c r="M6" s="38" t="s">
        <v>42</v>
      </c>
      <c r="N6" s="29" t="s">
        <v>369</v>
      </c>
      <c r="O6" s="29" t="s">
        <v>374</v>
      </c>
      <c r="P6" s="29" t="s">
        <v>373</v>
      </c>
      <c r="Q6" s="29" t="s">
        <v>376</v>
      </c>
      <c r="R6" s="35"/>
    </row>
    <row r="7" spans="1:18" s="20" customFormat="1" ht="148.5" x14ac:dyDescent="0.3">
      <c r="A7" s="29" t="s">
        <v>384</v>
      </c>
      <c r="B7" s="29" t="s">
        <v>468</v>
      </c>
      <c r="C7" s="29" t="s">
        <v>31</v>
      </c>
      <c r="D7" s="34" t="s">
        <v>46</v>
      </c>
      <c r="E7" s="29"/>
      <c r="F7" s="35" t="s">
        <v>347</v>
      </c>
      <c r="G7" s="36" t="s">
        <v>47</v>
      </c>
      <c r="H7" s="29" t="s">
        <v>67</v>
      </c>
      <c r="I7" s="36" t="s">
        <v>49</v>
      </c>
      <c r="J7" s="38" t="s">
        <v>58</v>
      </c>
      <c r="K7" s="40" t="s">
        <v>526</v>
      </c>
      <c r="L7" s="41" t="s">
        <v>486</v>
      </c>
      <c r="M7" s="38" t="s">
        <v>550</v>
      </c>
      <c r="N7" s="29" t="s">
        <v>369</v>
      </c>
      <c r="O7" s="29" t="s">
        <v>374</v>
      </c>
      <c r="P7" s="29" t="s">
        <v>373</v>
      </c>
      <c r="Q7" s="29" t="s">
        <v>376</v>
      </c>
      <c r="R7" s="35" t="s">
        <v>548</v>
      </c>
    </row>
    <row r="8" spans="1:18" s="20" customFormat="1" ht="54" x14ac:dyDescent="0.3">
      <c r="A8" s="29" t="s">
        <v>385</v>
      </c>
      <c r="B8" s="29" t="s">
        <v>468</v>
      </c>
      <c r="C8" s="29" t="s">
        <v>31</v>
      </c>
      <c r="D8" s="34" t="s">
        <v>46</v>
      </c>
      <c r="E8" s="29"/>
      <c r="F8" s="35" t="s">
        <v>347</v>
      </c>
      <c r="G8" s="36" t="s">
        <v>47</v>
      </c>
      <c r="H8" s="29" t="s">
        <v>68</v>
      </c>
      <c r="I8" s="36" t="s">
        <v>50</v>
      </c>
      <c r="J8" s="38" t="s">
        <v>59</v>
      </c>
      <c r="K8" s="40" t="s">
        <v>526</v>
      </c>
      <c r="L8" s="41" t="s">
        <v>486</v>
      </c>
      <c r="M8" s="38" t="s">
        <v>59</v>
      </c>
      <c r="N8" s="29" t="s">
        <v>369</v>
      </c>
      <c r="O8" s="29" t="s">
        <v>374</v>
      </c>
      <c r="P8" s="29" t="s">
        <v>373</v>
      </c>
      <c r="Q8" s="29" t="s">
        <v>376</v>
      </c>
      <c r="R8" s="35"/>
    </row>
    <row r="9" spans="1:18" s="20" customFormat="1" ht="67.5" x14ac:dyDescent="0.3">
      <c r="A9" s="29" t="s">
        <v>386</v>
      </c>
      <c r="B9" s="29" t="s">
        <v>468</v>
      </c>
      <c r="C9" s="29" t="s">
        <v>31</v>
      </c>
      <c r="D9" s="34" t="s">
        <v>46</v>
      </c>
      <c r="E9" s="29"/>
      <c r="F9" s="35" t="s">
        <v>347</v>
      </c>
      <c r="G9" s="36" t="s">
        <v>47</v>
      </c>
      <c r="H9" s="29" t="s">
        <v>69</v>
      </c>
      <c r="I9" s="36" t="s">
        <v>51</v>
      </c>
      <c r="J9" s="38" t="s">
        <v>60</v>
      </c>
      <c r="K9" s="40" t="s">
        <v>526</v>
      </c>
      <c r="L9" s="41" t="s">
        <v>486</v>
      </c>
      <c r="M9" s="38" t="s">
        <v>60</v>
      </c>
      <c r="N9" s="29" t="s">
        <v>369</v>
      </c>
      <c r="O9" s="29" t="s">
        <v>377</v>
      </c>
      <c r="P9" s="29" t="s">
        <v>373</v>
      </c>
      <c r="Q9" s="29" t="s">
        <v>376</v>
      </c>
      <c r="R9" s="35"/>
    </row>
    <row r="10" spans="1:18" s="20" customFormat="1" ht="40.5" x14ac:dyDescent="0.3">
      <c r="A10" s="29" t="s">
        <v>387</v>
      </c>
      <c r="B10" s="29" t="s">
        <v>468</v>
      </c>
      <c r="C10" s="29" t="s">
        <v>31</v>
      </c>
      <c r="D10" s="34" t="s">
        <v>46</v>
      </c>
      <c r="E10" s="29"/>
      <c r="F10" s="35" t="s">
        <v>347</v>
      </c>
      <c r="G10" s="36" t="s">
        <v>47</v>
      </c>
      <c r="H10" s="29" t="s">
        <v>70</v>
      </c>
      <c r="I10" s="36" t="s">
        <v>52</v>
      </c>
      <c r="J10" s="38" t="s">
        <v>61</v>
      </c>
      <c r="K10" s="40" t="s">
        <v>526</v>
      </c>
      <c r="L10" s="41" t="s">
        <v>486</v>
      </c>
      <c r="M10" s="38" t="s">
        <v>61</v>
      </c>
      <c r="N10" s="29" t="s">
        <v>369</v>
      </c>
      <c r="O10" s="29" t="s">
        <v>377</v>
      </c>
      <c r="P10" s="29" t="s">
        <v>373</v>
      </c>
      <c r="Q10" s="29" t="s">
        <v>376</v>
      </c>
      <c r="R10" s="35"/>
    </row>
    <row r="11" spans="1:18" s="20" customFormat="1" ht="54" x14ac:dyDescent="0.3">
      <c r="A11" s="29" t="s">
        <v>388</v>
      </c>
      <c r="B11" s="29" t="s">
        <v>468</v>
      </c>
      <c r="C11" s="29" t="s">
        <v>31</v>
      </c>
      <c r="D11" s="34" t="s">
        <v>46</v>
      </c>
      <c r="E11" s="29"/>
      <c r="F11" s="35" t="s">
        <v>347</v>
      </c>
      <c r="G11" s="36" t="s">
        <v>47</v>
      </c>
      <c r="H11" s="29" t="s">
        <v>71</v>
      </c>
      <c r="I11" s="36" t="s">
        <v>53</v>
      </c>
      <c r="J11" s="38" t="s">
        <v>62</v>
      </c>
      <c r="K11" s="40" t="s">
        <v>526</v>
      </c>
      <c r="L11" s="41" t="s">
        <v>486</v>
      </c>
      <c r="M11" s="38" t="s">
        <v>62</v>
      </c>
      <c r="N11" s="29" t="s">
        <v>369</v>
      </c>
      <c r="O11" s="29" t="s">
        <v>377</v>
      </c>
      <c r="P11" s="29" t="s">
        <v>373</v>
      </c>
      <c r="Q11" s="29" t="s">
        <v>376</v>
      </c>
      <c r="R11" s="35"/>
    </row>
    <row r="12" spans="1:18" s="20" customFormat="1" ht="67.5" x14ac:dyDescent="0.3">
      <c r="A12" s="29" t="s">
        <v>389</v>
      </c>
      <c r="B12" s="29" t="s">
        <v>468</v>
      </c>
      <c r="C12" s="29" t="s">
        <v>31</v>
      </c>
      <c r="D12" s="34" t="s">
        <v>46</v>
      </c>
      <c r="E12" s="29"/>
      <c r="F12" s="35" t="s">
        <v>347</v>
      </c>
      <c r="G12" s="36" t="s">
        <v>47</v>
      </c>
      <c r="H12" s="29" t="s">
        <v>72</v>
      </c>
      <c r="I12" s="36" t="s">
        <v>54</v>
      </c>
      <c r="J12" s="38" t="s">
        <v>63</v>
      </c>
      <c r="K12" s="40" t="s">
        <v>526</v>
      </c>
      <c r="L12" s="41" t="s">
        <v>486</v>
      </c>
      <c r="M12" s="38" t="s">
        <v>63</v>
      </c>
      <c r="N12" s="29" t="s">
        <v>369</v>
      </c>
      <c r="O12" s="29" t="s">
        <v>374</v>
      </c>
      <c r="P12" s="29" t="s">
        <v>373</v>
      </c>
      <c r="Q12" s="29" t="s">
        <v>376</v>
      </c>
      <c r="R12" s="35"/>
    </row>
    <row r="13" spans="1:18" s="20" customFormat="1" ht="54" x14ac:dyDescent="0.3">
      <c r="A13" s="29" t="s">
        <v>390</v>
      </c>
      <c r="B13" s="29" t="s">
        <v>468</v>
      </c>
      <c r="C13" s="29" t="s">
        <v>31</v>
      </c>
      <c r="D13" s="34" t="s">
        <v>46</v>
      </c>
      <c r="E13" s="29"/>
      <c r="F13" s="35" t="s">
        <v>347</v>
      </c>
      <c r="G13" s="36" t="s">
        <v>47</v>
      </c>
      <c r="H13" s="29" t="s">
        <v>73</v>
      </c>
      <c r="I13" s="36" t="s">
        <v>55</v>
      </c>
      <c r="J13" s="38" t="s">
        <v>64</v>
      </c>
      <c r="K13" s="40" t="s">
        <v>526</v>
      </c>
      <c r="L13" s="41" t="s">
        <v>486</v>
      </c>
      <c r="M13" s="38" t="s">
        <v>549</v>
      </c>
      <c r="N13" s="29" t="s">
        <v>369</v>
      </c>
      <c r="O13" s="29" t="s">
        <v>377</v>
      </c>
      <c r="P13" s="29" t="s">
        <v>373</v>
      </c>
      <c r="Q13" s="29" t="s">
        <v>376</v>
      </c>
      <c r="R13" s="35" t="s">
        <v>548</v>
      </c>
    </row>
    <row r="14" spans="1:18" s="20" customFormat="1" ht="40.5" x14ac:dyDescent="0.3">
      <c r="A14" s="29" t="s">
        <v>391</v>
      </c>
      <c r="B14" s="29" t="s">
        <v>468</v>
      </c>
      <c r="C14" s="29" t="s">
        <v>31</v>
      </c>
      <c r="D14" s="34" t="s">
        <v>46</v>
      </c>
      <c r="E14" s="29"/>
      <c r="F14" s="35" t="s">
        <v>347</v>
      </c>
      <c r="G14" s="36" t="s">
        <v>47</v>
      </c>
      <c r="H14" s="29" t="s">
        <v>74</v>
      </c>
      <c r="I14" s="36" t="s">
        <v>56</v>
      </c>
      <c r="J14" s="38" t="s">
        <v>65</v>
      </c>
      <c r="K14" s="40" t="s">
        <v>526</v>
      </c>
      <c r="L14" s="41" t="s">
        <v>486</v>
      </c>
      <c r="M14" s="38" t="s">
        <v>65</v>
      </c>
      <c r="N14" s="29" t="s">
        <v>369</v>
      </c>
      <c r="O14" s="29" t="s">
        <v>374</v>
      </c>
      <c r="P14" s="29" t="s">
        <v>373</v>
      </c>
      <c r="Q14" s="29" t="s">
        <v>376</v>
      </c>
      <c r="R14" s="35"/>
    </row>
    <row r="15" spans="1:18" s="20" customFormat="1" ht="81" x14ac:dyDescent="0.3">
      <c r="A15" s="29" t="s">
        <v>392</v>
      </c>
      <c r="B15" s="29" t="s">
        <v>468</v>
      </c>
      <c r="C15" s="29" t="s">
        <v>31</v>
      </c>
      <c r="D15" s="34" t="s">
        <v>46</v>
      </c>
      <c r="E15" s="29"/>
      <c r="F15" s="35" t="s">
        <v>347</v>
      </c>
      <c r="G15" s="36" t="s">
        <v>47</v>
      </c>
      <c r="H15" s="29" t="s">
        <v>75</v>
      </c>
      <c r="I15" s="36" t="s">
        <v>57</v>
      </c>
      <c r="J15" s="38" t="s">
        <v>66</v>
      </c>
      <c r="K15" s="40"/>
      <c r="L15" s="41" t="s">
        <v>488</v>
      </c>
      <c r="M15" s="38" t="s">
        <v>551</v>
      </c>
      <c r="N15" s="29" t="s">
        <v>371</v>
      </c>
      <c r="O15" s="29" t="s">
        <v>377</v>
      </c>
      <c r="P15" s="29" t="s">
        <v>373</v>
      </c>
      <c r="Q15" s="29" t="s">
        <v>376</v>
      </c>
      <c r="R15" s="35" t="s">
        <v>548</v>
      </c>
    </row>
    <row r="16" spans="1:18" s="20" customFormat="1" ht="27" x14ac:dyDescent="0.3">
      <c r="A16" s="29" t="s">
        <v>393</v>
      </c>
      <c r="B16" s="29" t="s">
        <v>468</v>
      </c>
      <c r="C16" s="29" t="s">
        <v>31</v>
      </c>
      <c r="D16" s="34" t="s">
        <v>76</v>
      </c>
      <c r="E16" s="29"/>
      <c r="F16" s="35" t="s">
        <v>347</v>
      </c>
      <c r="G16" s="36" t="s">
        <v>77</v>
      </c>
      <c r="H16" s="29" t="s">
        <v>78</v>
      </c>
      <c r="I16" s="36" t="s">
        <v>35</v>
      </c>
      <c r="J16" s="38" t="s">
        <v>42</v>
      </c>
      <c r="K16" s="40"/>
      <c r="L16" s="41" t="s">
        <v>486</v>
      </c>
      <c r="M16" s="38" t="s">
        <v>42</v>
      </c>
      <c r="N16" s="29" t="s">
        <v>369</v>
      </c>
      <c r="O16" s="29" t="s">
        <v>374</v>
      </c>
      <c r="P16" s="29" t="s">
        <v>373</v>
      </c>
      <c r="Q16" s="29" t="s">
        <v>376</v>
      </c>
      <c r="R16" s="35"/>
    </row>
    <row r="17" spans="1:18" s="20" customFormat="1" x14ac:dyDescent="0.3">
      <c r="A17" s="29" t="s">
        <v>394</v>
      </c>
      <c r="B17" s="29" t="s">
        <v>468</v>
      </c>
      <c r="C17" s="29" t="s">
        <v>31</v>
      </c>
      <c r="D17" s="34" t="s">
        <v>76</v>
      </c>
      <c r="E17" s="29"/>
      <c r="F17" s="35" t="s">
        <v>347</v>
      </c>
      <c r="G17" s="36" t="s">
        <v>77</v>
      </c>
      <c r="H17" s="29" t="s">
        <v>97</v>
      </c>
      <c r="I17" s="36" t="s">
        <v>79</v>
      </c>
      <c r="J17" s="38" t="s">
        <v>88</v>
      </c>
      <c r="K17" s="40"/>
      <c r="L17" s="41" t="s">
        <v>486</v>
      </c>
      <c r="M17" s="38" t="s">
        <v>88</v>
      </c>
      <c r="N17" s="29" t="s">
        <v>370</v>
      </c>
      <c r="O17" s="29" t="s">
        <v>374</v>
      </c>
      <c r="P17" s="29" t="s">
        <v>373</v>
      </c>
      <c r="Q17" s="29" t="s">
        <v>376</v>
      </c>
      <c r="R17" s="35"/>
    </row>
    <row r="18" spans="1:18" s="20" customFormat="1" x14ac:dyDescent="0.3">
      <c r="A18" s="29" t="s">
        <v>395</v>
      </c>
      <c r="B18" s="29" t="s">
        <v>468</v>
      </c>
      <c r="C18" s="29" t="s">
        <v>31</v>
      </c>
      <c r="D18" s="34" t="s">
        <v>76</v>
      </c>
      <c r="E18" s="29"/>
      <c r="F18" s="35" t="s">
        <v>347</v>
      </c>
      <c r="G18" s="36" t="s">
        <v>77</v>
      </c>
      <c r="H18" s="29" t="s">
        <v>98</v>
      </c>
      <c r="I18" s="36" t="s">
        <v>80</v>
      </c>
      <c r="J18" s="38" t="s">
        <v>89</v>
      </c>
      <c r="K18" s="40"/>
      <c r="L18" s="41" t="s">
        <v>488</v>
      </c>
      <c r="M18" s="38" t="s">
        <v>89</v>
      </c>
      <c r="N18" s="29" t="s">
        <v>370</v>
      </c>
      <c r="O18" s="29" t="s">
        <v>374</v>
      </c>
      <c r="P18" s="29" t="s">
        <v>373</v>
      </c>
      <c r="Q18" s="29" t="s">
        <v>376</v>
      </c>
      <c r="R18" s="35"/>
    </row>
    <row r="19" spans="1:18" s="20" customFormat="1" x14ac:dyDescent="0.3">
      <c r="A19" s="29" t="s">
        <v>396</v>
      </c>
      <c r="B19" s="29" t="s">
        <v>468</v>
      </c>
      <c r="C19" s="29" t="s">
        <v>31</v>
      </c>
      <c r="D19" s="34" t="s">
        <v>76</v>
      </c>
      <c r="E19" s="29"/>
      <c r="F19" s="35" t="s">
        <v>347</v>
      </c>
      <c r="G19" s="36" t="s">
        <v>77</v>
      </c>
      <c r="H19" s="29" t="s">
        <v>99</v>
      </c>
      <c r="I19" s="36" t="s">
        <v>81</v>
      </c>
      <c r="J19" s="38" t="s">
        <v>90</v>
      </c>
      <c r="K19" s="40"/>
      <c r="L19" s="41" t="s">
        <v>486</v>
      </c>
      <c r="M19" s="38" t="s">
        <v>90</v>
      </c>
      <c r="N19" s="29" t="s">
        <v>370</v>
      </c>
      <c r="O19" s="29" t="s">
        <v>374</v>
      </c>
      <c r="P19" s="29" t="s">
        <v>373</v>
      </c>
      <c r="Q19" s="29" t="s">
        <v>376</v>
      </c>
      <c r="R19" s="35"/>
    </row>
    <row r="20" spans="1:18" s="20" customFormat="1" x14ac:dyDescent="0.3">
      <c r="A20" s="29" t="s">
        <v>397</v>
      </c>
      <c r="B20" s="29" t="s">
        <v>468</v>
      </c>
      <c r="C20" s="29" t="s">
        <v>31</v>
      </c>
      <c r="D20" s="34" t="s">
        <v>76</v>
      </c>
      <c r="E20" s="29"/>
      <c r="F20" s="35" t="s">
        <v>347</v>
      </c>
      <c r="G20" s="36" t="s">
        <v>77</v>
      </c>
      <c r="H20" s="29" t="s">
        <v>100</v>
      </c>
      <c r="I20" s="36" t="s">
        <v>82</v>
      </c>
      <c r="J20" s="38" t="s">
        <v>91</v>
      </c>
      <c r="K20" s="40"/>
      <c r="L20" s="41" t="s">
        <v>486</v>
      </c>
      <c r="M20" s="38" t="s">
        <v>91</v>
      </c>
      <c r="N20" s="29" t="s">
        <v>370</v>
      </c>
      <c r="O20" s="29" t="s">
        <v>374</v>
      </c>
      <c r="P20" s="29" t="s">
        <v>373</v>
      </c>
      <c r="Q20" s="29" t="s">
        <v>376</v>
      </c>
      <c r="R20" s="35"/>
    </row>
    <row r="21" spans="1:18" s="20" customFormat="1" x14ac:dyDescent="0.3">
      <c r="A21" s="29" t="s">
        <v>398</v>
      </c>
      <c r="B21" s="29" t="s">
        <v>468</v>
      </c>
      <c r="C21" s="29" t="s">
        <v>31</v>
      </c>
      <c r="D21" s="34" t="s">
        <v>76</v>
      </c>
      <c r="E21" s="29"/>
      <c r="F21" s="35" t="s">
        <v>347</v>
      </c>
      <c r="G21" s="36" t="s">
        <v>77</v>
      </c>
      <c r="H21" s="29" t="s">
        <v>101</v>
      </c>
      <c r="I21" s="36" t="s">
        <v>83</v>
      </c>
      <c r="J21" s="38" t="s">
        <v>92</v>
      </c>
      <c r="K21" s="40"/>
      <c r="L21" s="41" t="s">
        <v>486</v>
      </c>
      <c r="M21" s="38" t="s">
        <v>92</v>
      </c>
      <c r="N21" s="29" t="s">
        <v>370</v>
      </c>
      <c r="O21" s="29" t="s">
        <v>374</v>
      </c>
      <c r="P21" s="29" t="s">
        <v>373</v>
      </c>
      <c r="Q21" s="29" t="s">
        <v>376</v>
      </c>
      <c r="R21" s="35"/>
    </row>
    <row r="22" spans="1:18" s="20" customFormat="1" x14ac:dyDescent="0.3">
      <c r="A22" s="29" t="s">
        <v>399</v>
      </c>
      <c r="B22" s="29" t="s">
        <v>468</v>
      </c>
      <c r="C22" s="29" t="s">
        <v>31</v>
      </c>
      <c r="D22" s="34" t="s">
        <v>76</v>
      </c>
      <c r="E22" s="29"/>
      <c r="F22" s="35" t="s">
        <v>347</v>
      </c>
      <c r="G22" s="36" t="s">
        <v>77</v>
      </c>
      <c r="H22" s="29" t="s">
        <v>102</v>
      </c>
      <c r="I22" s="36" t="s">
        <v>84</v>
      </c>
      <c r="J22" s="38" t="s">
        <v>93</v>
      </c>
      <c r="K22" s="40"/>
      <c r="L22" s="41" t="s">
        <v>486</v>
      </c>
      <c r="M22" s="38" t="s">
        <v>93</v>
      </c>
      <c r="N22" s="29" t="s">
        <v>370</v>
      </c>
      <c r="O22" s="29" t="s">
        <v>374</v>
      </c>
      <c r="P22" s="29" t="s">
        <v>373</v>
      </c>
      <c r="Q22" s="29" t="s">
        <v>376</v>
      </c>
      <c r="R22" s="35"/>
    </row>
    <row r="23" spans="1:18" s="20" customFormat="1" x14ac:dyDescent="0.3">
      <c r="A23" s="29" t="s">
        <v>400</v>
      </c>
      <c r="B23" s="29" t="s">
        <v>468</v>
      </c>
      <c r="C23" s="29" t="s">
        <v>31</v>
      </c>
      <c r="D23" s="34" t="s">
        <v>76</v>
      </c>
      <c r="E23" s="29"/>
      <c r="F23" s="35" t="s">
        <v>347</v>
      </c>
      <c r="G23" s="36" t="s">
        <v>77</v>
      </c>
      <c r="H23" s="29" t="s">
        <v>103</v>
      </c>
      <c r="I23" s="36" t="s">
        <v>85</v>
      </c>
      <c r="J23" s="38" t="s">
        <v>94</v>
      </c>
      <c r="K23" s="40"/>
      <c r="L23" s="41" t="s">
        <v>486</v>
      </c>
      <c r="M23" s="38" t="s">
        <v>94</v>
      </c>
      <c r="N23" s="29" t="s">
        <v>370</v>
      </c>
      <c r="O23" s="29" t="s">
        <v>374</v>
      </c>
      <c r="P23" s="29" t="s">
        <v>373</v>
      </c>
      <c r="Q23" s="29" t="s">
        <v>376</v>
      </c>
      <c r="R23" s="35"/>
    </row>
    <row r="24" spans="1:18" s="20" customFormat="1" x14ac:dyDescent="0.3">
      <c r="A24" s="29" t="s">
        <v>401</v>
      </c>
      <c r="B24" s="29" t="s">
        <v>468</v>
      </c>
      <c r="C24" s="29" t="s">
        <v>31</v>
      </c>
      <c r="D24" s="34" t="s">
        <v>76</v>
      </c>
      <c r="E24" s="29"/>
      <c r="F24" s="35" t="s">
        <v>347</v>
      </c>
      <c r="G24" s="36" t="s">
        <v>77</v>
      </c>
      <c r="H24" s="29" t="s">
        <v>104</v>
      </c>
      <c r="I24" s="36" t="s">
        <v>86</v>
      </c>
      <c r="J24" s="38" t="s">
        <v>95</v>
      </c>
      <c r="K24" s="40"/>
      <c r="L24" s="41" t="s">
        <v>486</v>
      </c>
      <c r="M24" s="38" t="s">
        <v>95</v>
      </c>
      <c r="N24" s="29" t="s">
        <v>369</v>
      </c>
      <c r="O24" s="29" t="s">
        <v>374</v>
      </c>
      <c r="P24" s="29" t="s">
        <v>373</v>
      </c>
      <c r="Q24" s="29" t="s">
        <v>376</v>
      </c>
      <c r="R24" s="35"/>
    </row>
    <row r="25" spans="1:18" s="20" customFormat="1" x14ac:dyDescent="0.3">
      <c r="A25" s="29" t="s">
        <v>402</v>
      </c>
      <c r="B25" s="29" t="s">
        <v>468</v>
      </c>
      <c r="C25" s="29" t="s">
        <v>31</v>
      </c>
      <c r="D25" s="34" t="s">
        <v>76</v>
      </c>
      <c r="E25" s="29"/>
      <c r="F25" s="35" t="s">
        <v>347</v>
      </c>
      <c r="G25" s="36" t="s">
        <v>77</v>
      </c>
      <c r="H25" s="29" t="s">
        <v>105</v>
      </c>
      <c r="I25" s="36" t="s">
        <v>87</v>
      </c>
      <c r="J25" s="38" t="s">
        <v>96</v>
      </c>
      <c r="K25" s="40"/>
      <c r="L25" s="41" t="s">
        <v>486</v>
      </c>
      <c r="M25" s="38" t="s">
        <v>96</v>
      </c>
      <c r="N25" s="29" t="s">
        <v>370</v>
      </c>
      <c r="O25" s="29" t="s">
        <v>374</v>
      </c>
      <c r="P25" s="29" t="s">
        <v>373</v>
      </c>
      <c r="Q25" s="29" t="s">
        <v>376</v>
      </c>
      <c r="R25" s="35"/>
    </row>
    <row r="26" spans="1:18" s="20" customFormat="1" ht="27" x14ac:dyDescent="0.3">
      <c r="A26" s="29" t="s">
        <v>403</v>
      </c>
      <c r="B26" s="29" t="s">
        <v>468</v>
      </c>
      <c r="C26" s="29" t="s">
        <v>31</v>
      </c>
      <c r="D26" s="34" t="s">
        <v>106</v>
      </c>
      <c r="E26" s="29"/>
      <c r="F26" s="35" t="s">
        <v>347</v>
      </c>
      <c r="G26" s="36" t="s">
        <v>107</v>
      </c>
      <c r="H26" s="29" t="s">
        <v>108</v>
      </c>
      <c r="I26" s="36" t="s">
        <v>35</v>
      </c>
      <c r="J26" s="38" t="s">
        <v>42</v>
      </c>
      <c r="K26" s="40"/>
      <c r="L26" s="41" t="s">
        <v>486</v>
      </c>
      <c r="M26" s="38" t="s">
        <v>42</v>
      </c>
      <c r="N26" s="29" t="s">
        <v>369</v>
      </c>
      <c r="O26" s="29" t="s">
        <v>374</v>
      </c>
      <c r="P26" s="29" t="s">
        <v>373</v>
      </c>
      <c r="Q26" s="29" t="s">
        <v>376</v>
      </c>
      <c r="R26" s="35"/>
    </row>
    <row r="27" spans="1:18" s="20" customFormat="1" ht="81" x14ac:dyDescent="0.3">
      <c r="A27" s="29" t="s">
        <v>404</v>
      </c>
      <c r="B27" s="29" t="s">
        <v>468</v>
      </c>
      <c r="C27" s="29" t="s">
        <v>31</v>
      </c>
      <c r="D27" s="34" t="s">
        <v>106</v>
      </c>
      <c r="E27" s="29"/>
      <c r="F27" s="35" t="s">
        <v>347</v>
      </c>
      <c r="G27" s="36" t="s">
        <v>107</v>
      </c>
      <c r="H27" s="29" t="s">
        <v>114</v>
      </c>
      <c r="I27" s="36" t="s">
        <v>109</v>
      </c>
      <c r="J27" s="38" t="s">
        <v>120</v>
      </c>
      <c r="K27" s="40" t="s">
        <v>526</v>
      </c>
      <c r="L27" s="41" t="s">
        <v>486</v>
      </c>
      <c r="M27" s="38" t="s">
        <v>536</v>
      </c>
      <c r="N27" s="29" t="s">
        <v>369</v>
      </c>
      <c r="O27" s="29" t="s">
        <v>374</v>
      </c>
      <c r="P27" s="29" t="s">
        <v>373</v>
      </c>
      <c r="Q27" s="29" t="s">
        <v>376</v>
      </c>
      <c r="R27" s="35" t="s">
        <v>529</v>
      </c>
    </row>
    <row r="28" spans="1:18" s="20" customFormat="1" ht="67.5" x14ac:dyDescent="0.3">
      <c r="A28" s="29" t="s">
        <v>405</v>
      </c>
      <c r="B28" s="29" t="s">
        <v>468</v>
      </c>
      <c r="C28" s="29" t="s">
        <v>31</v>
      </c>
      <c r="D28" s="34" t="s">
        <v>106</v>
      </c>
      <c r="E28" s="29"/>
      <c r="F28" s="35" t="s">
        <v>347</v>
      </c>
      <c r="G28" s="36" t="s">
        <v>107</v>
      </c>
      <c r="H28" s="29" t="s">
        <v>115</v>
      </c>
      <c r="I28" s="36" t="s">
        <v>110</v>
      </c>
      <c r="J28" s="38" t="s">
        <v>121</v>
      </c>
      <c r="K28" s="40" t="s">
        <v>526</v>
      </c>
      <c r="L28" s="41" t="s">
        <v>486</v>
      </c>
      <c r="M28" s="38" t="s">
        <v>535</v>
      </c>
      <c r="N28" s="29" t="s">
        <v>369</v>
      </c>
      <c r="O28" s="29" t="s">
        <v>374</v>
      </c>
      <c r="P28" s="29" t="s">
        <v>373</v>
      </c>
      <c r="Q28" s="29" t="s">
        <v>376</v>
      </c>
      <c r="R28" s="35" t="s">
        <v>529</v>
      </c>
    </row>
    <row r="29" spans="1:18" s="20" customFormat="1" x14ac:dyDescent="0.3">
      <c r="A29" s="29" t="s">
        <v>406</v>
      </c>
      <c r="B29" s="29" t="s">
        <v>468</v>
      </c>
      <c r="C29" s="29" t="s">
        <v>31</v>
      </c>
      <c r="D29" s="34" t="s">
        <v>106</v>
      </c>
      <c r="E29" s="29"/>
      <c r="F29" s="35" t="s">
        <v>347</v>
      </c>
      <c r="G29" s="36" t="s">
        <v>107</v>
      </c>
      <c r="H29" s="29" t="s">
        <v>116</v>
      </c>
      <c r="I29" s="36" t="s">
        <v>111</v>
      </c>
      <c r="J29" s="38" t="s">
        <v>122</v>
      </c>
      <c r="K29" s="40"/>
      <c r="L29" s="41" t="s">
        <v>486</v>
      </c>
      <c r="M29" s="38" t="s">
        <v>122</v>
      </c>
      <c r="N29" s="29" t="s">
        <v>370</v>
      </c>
      <c r="O29" s="29" t="s">
        <v>374</v>
      </c>
      <c r="P29" s="29" t="s">
        <v>373</v>
      </c>
      <c r="Q29" s="29" t="s">
        <v>376</v>
      </c>
      <c r="R29" s="35"/>
    </row>
    <row r="30" spans="1:18" s="20" customFormat="1" x14ac:dyDescent="0.3">
      <c r="A30" s="29" t="s">
        <v>407</v>
      </c>
      <c r="B30" s="29" t="s">
        <v>468</v>
      </c>
      <c r="C30" s="29" t="s">
        <v>31</v>
      </c>
      <c r="D30" s="34" t="s">
        <v>106</v>
      </c>
      <c r="E30" s="29"/>
      <c r="F30" s="35" t="s">
        <v>347</v>
      </c>
      <c r="G30" s="36" t="s">
        <v>107</v>
      </c>
      <c r="H30" s="29" t="s">
        <v>117</v>
      </c>
      <c r="I30" s="36" t="s">
        <v>112</v>
      </c>
      <c r="J30" s="38" t="s">
        <v>123</v>
      </c>
      <c r="K30" s="40"/>
      <c r="L30" s="41" t="s">
        <v>486</v>
      </c>
      <c r="M30" s="38" t="s">
        <v>123</v>
      </c>
      <c r="N30" s="29" t="s">
        <v>370</v>
      </c>
      <c r="O30" s="29" t="s">
        <v>374</v>
      </c>
      <c r="P30" s="29" t="s">
        <v>373</v>
      </c>
      <c r="Q30" s="29" t="s">
        <v>376</v>
      </c>
      <c r="R30" s="35"/>
    </row>
    <row r="31" spans="1:18" s="20" customFormat="1" ht="45" customHeight="1" x14ac:dyDescent="0.3">
      <c r="A31" s="29" t="s">
        <v>408</v>
      </c>
      <c r="B31" s="29" t="s">
        <v>468</v>
      </c>
      <c r="C31" s="29" t="s">
        <v>31</v>
      </c>
      <c r="D31" s="34" t="s">
        <v>106</v>
      </c>
      <c r="E31" s="29"/>
      <c r="F31" s="35" t="s">
        <v>347</v>
      </c>
      <c r="G31" s="36" t="s">
        <v>107</v>
      </c>
      <c r="H31" s="29" t="s">
        <v>118</v>
      </c>
      <c r="I31" s="36" t="s">
        <v>107</v>
      </c>
      <c r="J31" s="38" t="s">
        <v>124</v>
      </c>
      <c r="K31" s="40"/>
      <c r="L31" s="41" t="s">
        <v>486</v>
      </c>
      <c r="M31" s="38" t="s">
        <v>124</v>
      </c>
      <c r="N31" s="29" t="s">
        <v>369</v>
      </c>
      <c r="O31" s="29" t="s">
        <v>374</v>
      </c>
      <c r="P31" s="29" t="s">
        <v>373</v>
      </c>
      <c r="Q31" s="29" t="s">
        <v>376</v>
      </c>
      <c r="R31" s="35"/>
    </row>
    <row r="32" spans="1:18" s="20" customFormat="1" ht="40.5" x14ac:dyDescent="0.3">
      <c r="A32" s="29" t="s">
        <v>409</v>
      </c>
      <c r="B32" s="29" t="s">
        <v>468</v>
      </c>
      <c r="C32" s="29" t="s">
        <v>31</v>
      </c>
      <c r="D32" s="34" t="s">
        <v>106</v>
      </c>
      <c r="E32" s="29"/>
      <c r="F32" s="35" t="s">
        <v>347</v>
      </c>
      <c r="G32" s="36" t="s">
        <v>107</v>
      </c>
      <c r="H32" s="29" t="s">
        <v>119</v>
      </c>
      <c r="I32" s="36" t="s">
        <v>113</v>
      </c>
      <c r="J32" s="38" t="s">
        <v>125</v>
      </c>
      <c r="K32" s="40"/>
      <c r="L32" s="41" t="s">
        <v>488</v>
      </c>
      <c r="M32" s="38" t="s">
        <v>125</v>
      </c>
      <c r="N32" s="29" t="s">
        <v>369</v>
      </c>
      <c r="O32" s="29" t="s">
        <v>374</v>
      </c>
      <c r="P32" s="29" t="s">
        <v>373</v>
      </c>
      <c r="Q32" s="29" t="s">
        <v>376</v>
      </c>
      <c r="R32" s="35"/>
    </row>
    <row r="33" spans="1:18" s="20" customFormat="1" ht="27" x14ac:dyDescent="0.3">
      <c r="A33" s="29" t="s">
        <v>410</v>
      </c>
      <c r="B33" s="29" t="s">
        <v>468</v>
      </c>
      <c r="C33" s="29" t="s">
        <v>31</v>
      </c>
      <c r="D33" s="34" t="s">
        <v>126</v>
      </c>
      <c r="E33" s="29"/>
      <c r="F33" s="35" t="s">
        <v>347</v>
      </c>
      <c r="G33" s="37" t="s">
        <v>127</v>
      </c>
      <c r="H33" s="29" t="s">
        <v>128</v>
      </c>
      <c r="I33" s="36" t="s">
        <v>35</v>
      </c>
      <c r="J33" s="38" t="s">
        <v>42</v>
      </c>
      <c r="K33" s="40"/>
      <c r="L33" s="41" t="s">
        <v>486</v>
      </c>
      <c r="M33" s="38" t="s">
        <v>42</v>
      </c>
      <c r="N33" s="29" t="s">
        <v>369</v>
      </c>
      <c r="O33" s="29" t="s">
        <v>374</v>
      </c>
      <c r="P33" s="29" t="s">
        <v>373</v>
      </c>
      <c r="Q33" s="29" t="s">
        <v>376</v>
      </c>
      <c r="R33" s="35"/>
    </row>
    <row r="34" spans="1:18" s="20" customFormat="1" ht="68.25" customHeight="1" x14ac:dyDescent="0.3">
      <c r="A34" s="29" t="s">
        <v>411</v>
      </c>
      <c r="B34" s="29" t="s">
        <v>468</v>
      </c>
      <c r="C34" s="29" t="s">
        <v>31</v>
      </c>
      <c r="D34" s="34" t="s">
        <v>126</v>
      </c>
      <c r="E34" s="29"/>
      <c r="F34" s="35" t="s">
        <v>347</v>
      </c>
      <c r="G34" s="37" t="s">
        <v>127</v>
      </c>
      <c r="H34" s="29" t="s">
        <v>135</v>
      </c>
      <c r="I34" s="36" t="s">
        <v>129</v>
      </c>
      <c r="J34" s="38" t="s">
        <v>141</v>
      </c>
      <c r="K34" s="40" t="s">
        <v>526</v>
      </c>
      <c r="L34" s="41" t="s">
        <v>486</v>
      </c>
      <c r="M34" s="38" t="s">
        <v>537</v>
      </c>
      <c r="N34" s="29" t="s">
        <v>369</v>
      </c>
      <c r="O34" s="29" t="s">
        <v>374</v>
      </c>
      <c r="P34" s="29" t="s">
        <v>373</v>
      </c>
      <c r="Q34" s="29" t="s">
        <v>376</v>
      </c>
      <c r="R34" s="35" t="s">
        <v>529</v>
      </c>
    </row>
    <row r="35" spans="1:18" s="20" customFormat="1" ht="67.5" x14ac:dyDescent="0.3">
      <c r="A35" s="29" t="s">
        <v>412</v>
      </c>
      <c r="B35" s="29" t="s">
        <v>468</v>
      </c>
      <c r="C35" s="29" t="s">
        <v>31</v>
      </c>
      <c r="D35" s="34" t="s">
        <v>126</v>
      </c>
      <c r="E35" s="29"/>
      <c r="F35" s="35" t="s">
        <v>347</v>
      </c>
      <c r="G35" s="37" t="s">
        <v>127</v>
      </c>
      <c r="H35" s="29" t="s">
        <v>136</v>
      </c>
      <c r="I35" s="36" t="s">
        <v>130</v>
      </c>
      <c r="J35" s="38" t="s">
        <v>142</v>
      </c>
      <c r="K35" s="40" t="s">
        <v>526</v>
      </c>
      <c r="L35" s="41" t="s">
        <v>486</v>
      </c>
      <c r="M35" s="38" t="s">
        <v>538</v>
      </c>
      <c r="N35" s="29" t="s">
        <v>369</v>
      </c>
      <c r="O35" s="29" t="s">
        <v>374</v>
      </c>
      <c r="P35" s="29" t="s">
        <v>373</v>
      </c>
      <c r="Q35" s="29" t="s">
        <v>376</v>
      </c>
      <c r="R35" s="35" t="s">
        <v>529</v>
      </c>
    </row>
    <row r="36" spans="1:18" s="20" customFormat="1" x14ac:dyDescent="0.3">
      <c r="A36" s="29" t="s">
        <v>413</v>
      </c>
      <c r="B36" s="29" t="s">
        <v>468</v>
      </c>
      <c r="C36" s="29" t="s">
        <v>31</v>
      </c>
      <c r="D36" s="34" t="s">
        <v>126</v>
      </c>
      <c r="E36" s="29"/>
      <c r="F36" s="35" t="s">
        <v>347</v>
      </c>
      <c r="G36" s="37" t="s">
        <v>127</v>
      </c>
      <c r="H36" s="29" t="s">
        <v>137</v>
      </c>
      <c r="I36" s="36" t="s">
        <v>131</v>
      </c>
      <c r="J36" s="38" t="s">
        <v>143</v>
      </c>
      <c r="K36" s="40"/>
      <c r="L36" s="41" t="s">
        <v>486</v>
      </c>
      <c r="M36" s="38" t="s">
        <v>143</v>
      </c>
      <c r="N36" s="29" t="s">
        <v>370</v>
      </c>
      <c r="O36" s="29" t="s">
        <v>374</v>
      </c>
      <c r="P36" s="29" t="s">
        <v>373</v>
      </c>
      <c r="Q36" s="29" t="s">
        <v>376</v>
      </c>
      <c r="R36" s="35"/>
    </row>
    <row r="37" spans="1:18" s="20" customFormat="1" x14ac:dyDescent="0.3">
      <c r="A37" s="29" t="s">
        <v>414</v>
      </c>
      <c r="B37" s="29" t="s">
        <v>468</v>
      </c>
      <c r="C37" s="29" t="s">
        <v>31</v>
      </c>
      <c r="D37" s="34" t="s">
        <v>126</v>
      </c>
      <c r="E37" s="29"/>
      <c r="F37" s="35" t="s">
        <v>347</v>
      </c>
      <c r="G37" s="37" t="s">
        <v>127</v>
      </c>
      <c r="H37" s="29" t="s">
        <v>138</v>
      </c>
      <c r="I37" s="36" t="s">
        <v>132</v>
      </c>
      <c r="J37" s="38" t="s">
        <v>144</v>
      </c>
      <c r="K37" s="40"/>
      <c r="L37" s="41" t="s">
        <v>486</v>
      </c>
      <c r="M37" s="38" t="s">
        <v>144</v>
      </c>
      <c r="N37" s="29" t="s">
        <v>370</v>
      </c>
      <c r="O37" s="29" t="s">
        <v>374</v>
      </c>
      <c r="P37" s="29" t="s">
        <v>373</v>
      </c>
      <c r="Q37" s="29" t="s">
        <v>376</v>
      </c>
      <c r="R37" s="35"/>
    </row>
    <row r="38" spans="1:18" s="20" customFormat="1" ht="40.5" x14ac:dyDescent="0.3">
      <c r="A38" s="29" t="s">
        <v>415</v>
      </c>
      <c r="B38" s="29" t="s">
        <v>468</v>
      </c>
      <c r="C38" s="29" t="s">
        <v>31</v>
      </c>
      <c r="D38" s="34" t="s">
        <v>126</v>
      </c>
      <c r="E38" s="29"/>
      <c r="F38" s="35" t="s">
        <v>347</v>
      </c>
      <c r="G38" s="37" t="s">
        <v>127</v>
      </c>
      <c r="H38" s="29" t="s">
        <v>139</v>
      </c>
      <c r="I38" s="36" t="s">
        <v>133</v>
      </c>
      <c r="J38" s="38" t="s">
        <v>146</v>
      </c>
      <c r="K38" s="40"/>
      <c r="L38" s="41" t="s">
        <v>488</v>
      </c>
      <c r="M38" s="38" t="s">
        <v>146</v>
      </c>
      <c r="N38" s="29" t="s">
        <v>369</v>
      </c>
      <c r="O38" s="29" t="s">
        <v>374</v>
      </c>
      <c r="P38" s="29" t="s">
        <v>373</v>
      </c>
      <c r="Q38" s="29" t="s">
        <v>376</v>
      </c>
      <c r="R38" s="35"/>
    </row>
    <row r="39" spans="1:18" s="20" customFormat="1" x14ac:dyDescent="0.3">
      <c r="A39" s="29" t="s">
        <v>416</v>
      </c>
      <c r="B39" s="29" t="s">
        <v>468</v>
      </c>
      <c r="C39" s="29" t="s">
        <v>31</v>
      </c>
      <c r="D39" s="34" t="s">
        <v>126</v>
      </c>
      <c r="E39" s="29"/>
      <c r="F39" s="35" t="s">
        <v>347</v>
      </c>
      <c r="G39" s="37" t="s">
        <v>127</v>
      </c>
      <c r="H39" s="29" t="s">
        <v>140</v>
      </c>
      <c r="I39" s="36" t="s">
        <v>134</v>
      </c>
      <c r="J39" s="38" t="s">
        <v>145</v>
      </c>
      <c r="K39" s="40"/>
      <c r="L39" s="41" t="s">
        <v>488</v>
      </c>
      <c r="M39" s="38" t="s">
        <v>145</v>
      </c>
      <c r="N39" s="29" t="s">
        <v>369</v>
      </c>
      <c r="O39" s="29" t="s">
        <v>374</v>
      </c>
      <c r="P39" s="29" t="s">
        <v>373</v>
      </c>
      <c r="Q39" s="29" t="s">
        <v>376</v>
      </c>
      <c r="R39" s="35"/>
    </row>
    <row r="40" spans="1:18" s="20" customFormat="1" ht="27" x14ac:dyDescent="0.3">
      <c r="A40" s="29" t="s">
        <v>417</v>
      </c>
      <c r="B40" s="29" t="s">
        <v>468</v>
      </c>
      <c r="C40" s="29" t="s">
        <v>31</v>
      </c>
      <c r="D40" s="34" t="s">
        <v>147</v>
      </c>
      <c r="E40" s="29"/>
      <c r="F40" s="35" t="s">
        <v>347</v>
      </c>
      <c r="G40" s="37" t="s">
        <v>148</v>
      </c>
      <c r="H40" s="29" t="s">
        <v>149</v>
      </c>
      <c r="I40" s="36" t="s">
        <v>35</v>
      </c>
      <c r="J40" s="38" t="s">
        <v>42</v>
      </c>
      <c r="K40" s="40"/>
      <c r="L40" s="41" t="s">
        <v>486</v>
      </c>
      <c r="M40" s="38" t="s">
        <v>42</v>
      </c>
      <c r="N40" s="29" t="s">
        <v>369</v>
      </c>
      <c r="O40" s="29" t="s">
        <v>374</v>
      </c>
      <c r="P40" s="29" t="s">
        <v>373</v>
      </c>
      <c r="Q40" s="29" t="s">
        <v>376</v>
      </c>
      <c r="R40" s="35"/>
    </row>
    <row r="41" spans="1:18" s="20" customFormat="1" ht="54" x14ac:dyDescent="0.3">
      <c r="A41" s="29" t="s">
        <v>418</v>
      </c>
      <c r="B41" s="29" t="s">
        <v>468</v>
      </c>
      <c r="C41" s="29" t="s">
        <v>31</v>
      </c>
      <c r="D41" s="34" t="s">
        <v>147</v>
      </c>
      <c r="E41" s="29"/>
      <c r="F41" s="35" t="s">
        <v>347</v>
      </c>
      <c r="G41" s="37" t="s">
        <v>148</v>
      </c>
      <c r="H41" s="29" t="s">
        <v>158</v>
      </c>
      <c r="I41" s="36" t="s">
        <v>150</v>
      </c>
      <c r="J41" s="38" t="s">
        <v>166</v>
      </c>
      <c r="K41" s="40" t="s">
        <v>526</v>
      </c>
      <c r="L41" s="41" t="s">
        <v>486</v>
      </c>
      <c r="M41" s="38" t="s">
        <v>528</v>
      </c>
      <c r="N41" s="29" t="s">
        <v>369</v>
      </c>
      <c r="O41" s="29" t="s">
        <v>374</v>
      </c>
      <c r="P41" s="29" t="s">
        <v>373</v>
      </c>
      <c r="Q41" s="29" t="s">
        <v>376</v>
      </c>
      <c r="R41" s="35" t="s">
        <v>529</v>
      </c>
    </row>
    <row r="42" spans="1:18" s="20" customFormat="1" ht="40.5" x14ac:dyDescent="0.3">
      <c r="A42" s="29" t="s">
        <v>419</v>
      </c>
      <c r="B42" s="29" t="s">
        <v>468</v>
      </c>
      <c r="C42" s="29" t="s">
        <v>31</v>
      </c>
      <c r="D42" s="34" t="s">
        <v>147</v>
      </c>
      <c r="E42" s="29"/>
      <c r="F42" s="35" t="s">
        <v>347</v>
      </c>
      <c r="G42" s="37" t="s">
        <v>148</v>
      </c>
      <c r="H42" s="29" t="s">
        <v>491</v>
      </c>
      <c r="I42" s="36" t="s">
        <v>151</v>
      </c>
      <c r="J42" s="38" t="s">
        <v>167</v>
      </c>
      <c r="K42" s="40" t="s">
        <v>526</v>
      </c>
      <c r="L42" s="41" t="s">
        <v>486</v>
      </c>
      <c r="M42" s="38" t="s">
        <v>167</v>
      </c>
      <c r="N42" s="29" t="s">
        <v>369</v>
      </c>
      <c r="O42" s="29" t="s">
        <v>374</v>
      </c>
      <c r="P42" s="29" t="s">
        <v>373</v>
      </c>
      <c r="Q42" s="29" t="s">
        <v>376</v>
      </c>
      <c r="R42" s="35"/>
    </row>
    <row r="43" spans="1:18" s="20" customFormat="1" ht="40.5" x14ac:dyDescent="0.3">
      <c r="A43" s="29" t="s">
        <v>420</v>
      </c>
      <c r="B43" s="29" t="s">
        <v>468</v>
      </c>
      <c r="C43" s="29" t="s">
        <v>31</v>
      </c>
      <c r="D43" s="34" t="s">
        <v>147</v>
      </c>
      <c r="E43" s="29"/>
      <c r="F43" s="35" t="s">
        <v>347</v>
      </c>
      <c r="G43" s="37" t="s">
        <v>148</v>
      </c>
      <c r="H43" s="29" t="s">
        <v>159</v>
      </c>
      <c r="I43" s="36" t="s">
        <v>152</v>
      </c>
      <c r="J43" s="38" t="s">
        <v>168</v>
      </c>
      <c r="K43" s="40" t="s">
        <v>526</v>
      </c>
      <c r="L43" s="41" t="s">
        <v>486</v>
      </c>
      <c r="M43" s="38" t="s">
        <v>168</v>
      </c>
      <c r="N43" s="29" t="s">
        <v>369</v>
      </c>
      <c r="O43" s="29" t="s">
        <v>377</v>
      </c>
      <c r="P43" s="29" t="s">
        <v>373</v>
      </c>
      <c r="Q43" s="29" t="s">
        <v>376</v>
      </c>
      <c r="R43" s="35"/>
    </row>
    <row r="44" spans="1:18" s="20" customFormat="1" x14ac:dyDescent="0.3">
      <c r="A44" s="29" t="s">
        <v>421</v>
      </c>
      <c r="B44" s="29" t="s">
        <v>468</v>
      </c>
      <c r="C44" s="29" t="s">
        <v>31</v>
      </c>
      <c r="D44" s="34" t="s">
        <v>147</v>
      </c>
      <c r="E44" s="29"/>
      <c r="F44" s="35" t="s">
        <v>347</v>
      </c>
      <c r="G44" s="37" t="s">
        <v>148</v>
      </c>
      <c r="H44" s="29" t="s">
        <v>160</v>
      </c>
      <c r="I44" s="36" t="s">
        <v>153</v>
      </c>
      <c r="J44" s="38" t="s">
        <v>169</v>
      </c>
      <c r="K44" s="40"/>
      <c r="L44" s="41" t="s">
        <v>488</v>
      </c>
      <c r="M44" s="38" t="s">
        <v>169</v>
      </c>
      <c r="N44" s="29" t="s">
        <v>370</v>
      </c>
      <c r="O44" s="29" t="s">
        <v>374</v>
      </c>
      <c r="P44" s="29" t="s">
        <v>373</v>
      </c>
      <c r="Q44" s="29" t="s">
        <v>376</v>
      </c>
      <c r="R44" s="35"/>
    </row>
    <row r="45" spans="1:18" s="20" customFormat="1" x14ac:dyDescent="0.3">
      <c r="A45" s="29" t="s">
        <v>422</v>
      </c>
      <c r="B45" s="29" t="s">
        <v>468</v>
      </c>
      <c r="C45" s="29" t="s">
        <v>31</v>
      </c>
      <c r="D45" s="34" t="s">
        <v>147</v>
      </c>
      <c r="E45" s="29"/>
      <c r="F45" s="35" t="s">
        <v>347</v>
      </c>
      <c r="G45" s="37" t="s">
        <v>148</v>
      </c>
      <c r="H45" s="29" t="s">
        <v>161</v>
      </c>
      <c r="I45" s="36" t="s">
        <v>154</v>
      </c>
      <c r="J45" s="38" t="s">
        <v>170</v>
      </c>
      <c r="K45" s="40"/>
      <c r="L45" s="41" t="s">
        <v>488</v>
      </c>
      <c r="M45" s="38" t="s">
        <v>170</v>
      </c>
      <c r="N45" s="29" t="s">
        <v>369</v>
      </c>
      <c r="O45" s="29" t="s">
        <v>374</v>
      </c>
      <c r="P45" s="29" t="s">
        <v>373</v>
      </c>
      <c r="Q45" s="29" t="s">
        <v>376</v>
      </c>
      <c r="R45" s="35"/>
    </row>
    <row r="46" spans="1:18" s="20" customFormat="1" x14ac:dyDescent="0.3">
      <c r="A46" s="29" t="s">
        <v>423</v>
      </c>
      <c r="B46" s="29" t="s">
        <v>468</v>
      </c>
      <c r="C46" s="29" t="s">
        <v>31</v>
      </c>
      <c r="D46" s="34" t="s">
        <v>147</v>
      </c>
      <c r="E46" s="29"/>
      <c r="F46" s="35" t="s">
        <v>347</v>
      </c>
      <c r="G46" s="37" t="s">
        <v>148</v>
      </c>
      <c r="H46" s="29" t="s">
        <v>162</v>
      </c>
      <c r="I46" s="36" t="s">
        <v>155</v>
      </c>
      <c r="J46" s="38" t="s">
        <v>171</v>
      </c>
      <c r="K46" s="40"/>
      <c r="L46" s="41" t="s">
        <v>486</v>
      </c>
      <c r="M46" s="38" t="s">
        <v>171</v>
      </c>
      <c r="N46" s="29" t="s">
        <v>370</v>
      </c>
      <c r="O46" s="29" t="s">
        <v>374</v>
      </c>
      <c r="P46" s="29" t="s">
        <v>373</v>
      </c>
      <c r="Q46" s="29" t="s">
        <v>376</v>
      </c>
      <c r="R46" s="35"/>
    </row>
    <row r="47" spans="1:18" s="20" customFormat="1" x14ac:dyDescent="0.3">
      <c r="A47" s="29" t="s">
        <v>424</v>
      </c>
      <c r="B47" s="29" t="s">
        <v>468</v>
      </c>
      <c r="C47" s="29" t="s">
        <v>31</v>
      </c>
      <c r="D47" s="34" t="s">
        <v>147</v>
      </c>
      <c r="E47" s="29"/>
      <c r="F47" s="35" t="s">
        <v>347</v>
      </c>
      <c r="G47" s="37" t="s">
        <v>148</v>
      </c>
      <c r="H47" s="29" t="s">
        <v>163</v>
      </c>
      <c r="I47" s="36" t="s">
        <v>156</v>
      </c>
      <c r="J47" s="38" t="s">
        <v>172</v>
      </c>
      <c r="K47" s="40"/>
      <c r="L47" s="41" t="s">
        <v>486</v>
      </c>
      <c r="M47" s="38" t="s">
        <v>172</v>
      </c>
      <c r="N47" s="29" t="s">
        <v>370</v>
      </c>
      <c r="O47" s="29" t="s">
        <v>374</v>
      </c>
      <c r="P47" s="29" t="s">
        <v>373</v>
      </c>
      <c r="Q47" s="29" t="s">
        <v>376</v>
      </c>
      <c r="R47" s="35"/>
    </row>
    <row r="48" spans="1:18" s="20" customFormat="1" x14ac:dyDescent="0.3">
      <c r="A48" s="29" t="s">
        <v>425</v>
      </c>
      <c r="B48" s="29" t="s">
        <v>468</v>
      </c>
      <c r="C48" s="29" t="s">
        <v>31</v>
      </c>
      <c r="D48" s="34" t="s">
        <v>147</v>
      </c>
      <c r="E48" s="29"/>
      <c r="F48" s="35" t="s">
        <v>347</v>
      </c>
      <c r="G48" s="37" t="s">
        <v>148</v>
      </c>
      <c r="H48" s="29" t="s">
        <v>164</v>
      </c>
      <c r="I48" s="36" t="s">
        <v>157</v>
      </c>
      <c r="J48" s="38" t="s">
        <v>173</v>
      </c>
      <c r="K48" s="40"/>
      <c r="L48" s="41" t="s">
        <v>486</v>
      </c>
      <c r="M48" s="38" t="s">
        <v>173</v>
      </c>
      <c r="N48" s="29" t="s">
        <v>370</v>
      </c>
      <c r="O48" s="29" t="s">
        <v>374</v>
      </c>
      <c r="P48" s="29" t="s">
        <v>373</v>
      </c>
      <c r="Q48" s="29" t="s">
        <v>376</v>
      </c>
      <c r="R48" s="35"/>
    </row>
    <row r="49" spans="1:18" s="20" customFormat="1" x14ac:dyDescent="0.3">
      <c r="A49" s="29" t="s">
        <v>426</v>
      </c>
      <c r="B49" s="29" t="s">
        <v>468</v>
      </c>
      <c r="C49" s="29" t="s">
        <v>31</v>
      </c>
      <c r="D49" s="34" t="s">
        <v>147</v>
      </c>
      <c r="E49" s="29"/>
      <c r="F49" s="35" t="s">
        <v>347</v>
      </c>
      <c r="G49" s="37" t="s">
        <v>148</v>
      </c>
      <c r="H49" s="29" t="s">
        <v>165</v>
      </c>
      <c r="I49" s="36" t="s">
        <v>490</v>
      </c>
      <c r="J49" s="38" t="s">
        <v>174</v>
      </c>
      <c r="K49" s="40"/>
      <c r="L49" s="41" t="s">
        <v>486</v>
      </c>
      <c r="M49" s="38" t="s">
        <v>174</v>
      </c>
      <c r="N49" s="29" t="s">
        <v>370</v>
      </c>
      <c r="O49" s="29" t="s">
        <v>374</v>
      </c>
      <c r="P49" s="29" t="s">
        <v>373</v>
      </c>
      <c r="Q49" s="29" t="s">
        <v>376</v>
      </c>
      <c r="R49" s="35"/>
    </row>
    <row r="50" spans="1:18" s="20" customFormat="1" ht="27" x14ac:dyDescent="0.3">
      <c r="A50" s="29" t="s">
        <v>427</v>
      </c>
      <c r="B50" s="29" t="s">
        <v>468</v>
      </c>
      <c r="C50" s="29" t="s">
        <v>31</v>
      </c>
      <c r="D50" s="34" t="s">
        <v>175</v>
      </c>
      <c r="E50" s="29"/>
      <c r="F50" s="35" t="s">
        <v>347</v>
      </c>
      <c r="G50" s="37" t="s">
        <v>176</v>
      </c>
      <c r="H50" s="29" t="s">
        <v>177</v>
      </c>
      <c r="I50" s="36" t="s">
        <v>35</v>
      </c>
      <c r="J50" s="38" t="s">
        <v>42</v>
      </c>
      <c r="K50" s="40"/>
      <c r="L50" s="41" t="s">
        <v>486</v>
      </c>
      <c r="M50" s="38" t="s">
        <v>42</v>
      </c>
      <c r="N50" s="29" t="s">
        <v>369</v>
      </c>
      <c r="O50" s="29" t="s">
        <v>374</v>
      </c>
      <c r="P50" s="29" t="s">
        <v>373</v>
      </c>
      <c r="Q50" s="29" t="s">
        <v>376</v>
      </c>
      <c r="R50" s="35"/>
    </row>
    <row r="51" spans="1:18" s="20" customFormat="1" ht="40.5" x14ac:dyDescent="0.3">
      <c r="A51" s="29" t="s">
        <v>428</v>
      </c>
      <c r="B51" s="29" t="s">
        <v>468</v>
      </c>
      <c r="C51" s="29" t="s">
        <v>31</v>
      </c>
      <c r="D51" s="34" t="s">
        <v>175</v>
      </c>
      <c r="E51" s="29"/>
      <c r="F51" s="35" t="s">
        <v>347</v>
      </c>
      <c r="G51" s="37" t="s">
        <v>176</v>
      </c>
      <c r="H51" s="29" t="s">
        <v>183</v>
      </c>
      <c r="I51" s="36" t="s">
        <v>189</v>
      </c>
      <c r="J51" s="38" t="s">
        <v>190</v>
      </c>
      <c r="K51" s="40" t="s">
        <v>526</v>
      </c>
      <c r="L51" s="41" t="s">
        <v>486</v>
      </c>
      <c r="M51" s="38" t="s">
        <v>190</v>
      </c>
      <c r="N51" s="29" t="s">
        <v>369</v>
      </c>
      <c r="O51" s="29" t="s">
        <v>374</v>
      </c>
      <c r="P51" s="29" t="s">
        <v>373</v>
      </c>
      <c r="Q51" s="29" t="s">
        <v>376</v>
      </c>
      <c r="R51" s="35"/>
    </row>
    <row r="52" spans="1:18" s="20" customFormat="1" ht="40.5" x14ac:dyDescent="0.3">
      <c r="A52" s="29" t="s">
        <v>429</v>
      </c>
      <c r="B52" s="29" t="s">
        <v>468</v>
      </c>
      <c r="C52" s="29" t="s">
        <v>31</v>
      </c>
      <c r="D52" s="34" t="s">
        <v>175</v>
      </c>
      <c r="E52" s="29"/>
      <c r="F52" s="35" t="s">
        <v>347</v>
      </c>
      <c r="G52" s="37" t="s">
        <v>176</v>
      </c>
      <c r="H52" s="29" t="s">
        <v>184</v>
      </c>
      <c r="I52" s="36" t="s">
        <v>178</v>
      </c>
      <c r="J52" s="38" t="s">
        <v>191</v>
      </c>
      <c r="K52" s="40" t="s">
        <v>526</v>
      </c>
      <c r="L52" s="41" t="s">
        <v>486</v>
      </c>
      <c r="M52" s="38" t="s">
        <v>191</v>
      </c>
      <c r="N52" s="29" t="s">
        <v>369</v>
      </c>
      <c r="O52" s="29" t="s">
        <v>374</v>
      </c>
      <c r="P52" s="29" t="s">
        <v>373</v>
      </c>
      <c r="Q52" s="29" t="s">
        <v>376</v>
      </c>
      <c r="R52" s="35"/>
    </row>
    <row r="53" spans="1:18" s="20" customFormat="1" ht="54" x14ac:dyDescent="0.3">
      <c r="A53" s="29" t="s">
        <v>430</v>
      </c>
      <c r="B53" s="29" t="s">
        <v>468</v>
      </c>
      <c r="C53" s="29" t="s">
        <v>31</v>
      </c>
      <c r="D53" s="34" t="s">
        <v>175</v>
      </c>
      <c r="E53" s="29"/>
      <c r="F53" s="35" t="s">
        <v>347</v>
      </c>
      <c r="G53" s="37" t="s">
        <v>176</v>
      </c>
      <c r="H53" s="29" t="s">
        <v>185</v>
      </c>
      <c r="I53" s="36" t="s">
        <v>179</v>
      </c>
      <c r="J53" s="38" t="s">
        <v>192</v>
      </c>
      <c r="K53" s="40" t="s">
        <v>526</v>
      </c>
      <c r="L53" s="41" t="s">
        <v>486</v>
      </c>
      <c r="M53" s="38" t="s">
        <v>192</v>
      </c>
      <c r="N53" s="29" t="s">
        <v>369</v>
      </c>
      <c r="O53" s="29" t="s">
        <v>377</v>
      </c>
      <c r="P53" s="29" t="s">
        <v>373</v>
      </c>
      <c r="Q53" s="29" t="s">
        <v>376</v>
      </c>
      <c r="R53" s="35"/>
    </row>
    <row r="54" spans="1:18" s="20" customFormat="1" x14ac:dyDescent="0.3">
      <c r="A54" s="29" t="s">
        <v>431</v>
      </c>
      <c r="B54" s="29" t="s">
        <v>468</v>
      </c>
      <c r="C54" s="29" t="s">
        <v>31</v>
      </c>
      <c r="D54" s="34" t="s">
        <v>175</v>
      </c>
      <c r="E54" s="29"/>
      <c r="F54" s="35" t="s">
        <v>347</v>
      </c>
      <c r="G54" s="37" t="s">
        <v>176</v>
      </c>
      <c r="H54" s="29" t="s">
        <v>186</v>
      </c>
      <c r="I54" s="36" t="s">
        <v>180</v>
      </c>
      <c r="J54" s="38" t="s">
        <v>193</v>
      </c>
      <c r="K54" s="40"/>
      <c r="L54" s="41" t="s">
        <v>488</v>
      </c>
      <c r="M54" s="38" t="s">
        <v>193</v>
      </c>
      <c r="N54" s="29" t="s">
        <v>369</v>
      </c>
      <c r="O54" s="29" t="s">
        <v>374</v>
      </c>
      <c r="P54" s="29" t="s">
        <v>373</v>
      </c>
      <c r="Q54" s="29" t="s">
        <v>376</v>
      </c>
      <c r="R54" s="35"/>
    </row>
    <row r="55" spans="1:18" s="20" customFormat="1" x14ac:dyDescent="0.3">
      <c r="A55" s="29" t="s">
        <v>432</v>
      </c>
      <c r="B55" s="29" t="s">
        <v>468</v>
      </c>
      <c r="C55" s="29" t="s">
        <v>31</v>
      </c>
      <c r="D55" s="34" t="s">
        <v>175</v>
      </c>
      <c r="E55" s="29"/>
      <c r="F55" s="35" t="s">
        <v>347</v>
      </c>
      <c r="G55" s="37" t="s">
        <v>176</v>
      </c>
      <c r="H55" s="29" t="s">
        <v>187</v>
      </c>
      <c r="I55" s="36" t="s">
        <v>181</v>
      </c>
      <c r="J55" s="38" t="s">
        <v>194</v>
      </c>
      <c r="K55" s="40"/>
      <c r="L55" s="41" t="s">
        <v>486</v>
      </c>
      <c r="M55" s="38" t="s">
        <v>194</v>
      </c>
      <c r="N55" s="29" t="s">
        <v>370</v>
      </c>
      <c r="O55" s="29" t="s">
        <v>374</v>
      </c>
      <c r="P55" s="29" t="s">
        <v>373</v>
      </c>
      <c r="Q55" s="29" t="s">
        <v>376</v>
      </c>
      <c r="R55" s="35"/>
    </row>
    <row r="56" spans="1:18" s="20" customFormat="1" x14ac:dyDescent="0.3">
      <c r="A56" s="29" t="s">
        <v>433</v>
      </c>
      <c r="B56" s="29" t="s">
        <v>468</v>
      </c>
      <c r="C56" s="29" t="s">
        <v>31</v>
      </c>
      <c r="D56" s="34" t="s">
        <v>175</v>
      </c>
      <c r="E56" s="29"/>
      <c r="F56" s="35" t="s">
        <v>347</v>
      </c>
      <c r="G56" s="37" t="s">
        <v>176</v>
      </c>
      <c r="H56" s="29" t="s">
        <v>188</v>
      </c>
      <c r="I56" s="36" t="s">
        <v>182</v>
      </c>
      <c r="J56" s="38" t="s">
        <v>195</v>
      </c>
      <c r="K56" s="40"/>
      <c r="L56" s="41" t="s">
        <v>486</v>
      </c>
      <c r="M56" s="38" t="s">
        <v>195</v>
      </c>
      <c r="N56" s="29" t="s">
        <v>370</v>
      </c>
      <c r="O56" s="29" t="s">
        <v>374</v>
      </c>
      <c r="P56" s="29" t="s">
        <v>373</v>
      </c>
      <c r="Q56" s="29" t="s">
        <v>376</v>
      </c>
      <c r="R56" s="35"/>
    </row>
    <row r="57" spans="1:18" s="20" customFormat="1" ht="27" x14ac:dyDescent="0.3">
      <c r="A57" s="29" t="s">
        <v>434</v>
      </c>
      <c r="B57" s="29" t="s">
        <v>468</v>
      </c>
      <c r="C57" s="29" t="s">
        <v>31</v>
      </c>
      <c r="D57" s="34" t="s">
        <v>196</v>
      </c>
      <c r="E57" s="29"/>
      <c r="F57" s="35" t="s">
        <v>347</v>
      </c>
      <c r="G57" s="37" t="s">
        <v>197</v>
      </c>
      <c r="H57" s="29" t="s">
        <v>198</v>
      </c>
      <c r="I57" s="36" t="s">
        <v>35</v>
      </c>
      <c r="J57" s="38" t="s">
        <v>42</v>
      </c>
      <c r="K57" s="40"/>
      <c r="L57" s="41" t="s">
        <v>486</v>
      </c>
      <c r="M57" s="38" t="s">
        <v>42</v>
      </c>
      <c r="N57" s="29" t="s">
        <v>369</v>
      </c>
      <c r="O57" s="29" t="s">
        <v>374</v>
      </c>
      <c r="P57" s="29" t="s">
        <v>373</v>
      </c>
      <c r="Q57" s="29" t="s">
        <v>376</v>
      </c>
      <c r="R57" s="35"/>
    </row>
    <row r="58" spans="1:18" s="20" customFormat="1" ht="54" x14ac:dyDescent="0.3">
      <c r="A58" s="29" t="s">
        <v>435</v>
      </c>
      <c r="B58" s="29" t="s">
        <v>468</v>
      </c>
      <c r="C58" s="29" t="s">
        <v>31</v>
      </c>
      <c r="D58" s="34" t="s">
        <v>196</v>
      </c>
      <c r="E58" s="29"/>
      <c r="F58" s="35" t="s">
        <v>347</v>
      </c>
      <c r="G58" s="37" t="s">
        <v>197</v>
      </c>
      <c r="H58" s="29" t="s">
        <v>210</v>
      </c>
      <c r="I58" s="36" t="s">
        <v>199</v>
      </c>
      <c r="J58" s="38" t="s">
        <v>224</v>
      </c>
      <c r="K58" s="40" t="s">
        <v>526</v>
      </c>
      <c r="L58" s="41" t="s">
        <v>486</v>
      </c>
      <c r="M58" s="38" t="s">
        <v>224</v>
      </c>
      <c r="N58" s="29" t="s">
        <v>369</v>
      </c>
      <c r="O58" s="29" t="s">
        <v>374</v>
      </c>
      <c r="P58" s="29" t="s">
        <v>373</v>
      </c>
      <c r="Q58" s="29" t="s">
        <v>376</v>
      </c>
      <c r="R58" s="35"/>
    </row>
    <row r="59" spans="1:18" s="20" customFormat="1" ht="54" x14ac:dyDescent="0.3">
      <c r="A59" s="29" t="s">
        <v>436</v>
      </c>
      <c r="B59" s="29" t="s">
        <v>468</v>
      </c>
      <c r="C59" s="29" t="s">
        <v>31</v>
      </c>
      <c r="D59" s="34" t="s">
        <v>196</v>
      </c>
      <c r="E59" s="29"/>
      <c r="F59" s="35" t="s">
        <v>347</v>
      </c>
      <c r="G59" s="37" t="s">
        <v>197</v>
      </c>
      <c r="H59" s="29" t="s">
        <v>211</v>
      </c>
      <c r="I59" s="36" t="s">
        <v>200</v>
      </c>
      <c r="J59" s="38" t="s">
        <v>223</v>
      </c>
      <c r="K59" s="40" t="s">
        <v>526</v>
      </c>
      <c r="L59" s="41" t="s">
        <v>486</v>
      </c>
      <c r="M59" s="38" t="s">
        <v>533</v>
      </c>
      <c r="N59" s="29" t="s">
        <v>369</v>
      </c>
      <c r="O59" s="29" t="s">
        <v>374</v>
      </c>
      <c r="P59" s="29" t="s">
        <v>373</v>
      </c>
      <c r="Q59" s="29" t="s">
        <v>376</v>
      </c>
      <c r="R59" s="35" t="s">
        <v>529</v>
      </c>
    </row>
    <row r="60" spans="1:18" s="20" customFormat="1" x14ac:dyDescent="0.3">
      <c r="A60" s="29" t="s">
        <v>437</v>
      </c>
      <c r="B60" s="29" t="s">
        <v>468</v>
      </c>
      <c r="C60" s="29" t="s">
        <v>31</v>
      </c>
      <c r="D60" s="34" t="s">
        <v>196</v>
      </c>
      <c r="E60" s="29"/>
      <c r="F60" s="35" t="s">
        <v>347</v>
      </c>
      <c r="G60" s="37" t="s">
        <v>197</v>
      </c>
      <c r="H60" s="29" t="s">
        <v>212</v>
      </c>
      <c r="I60" s="36" t="s">
        <v>201</v>
      </c>
      <c r="J60" s="38" t="s">
        <v>222</v>
      </c>
      <c r="K60" s="40" t="s">
        <v>526</v>
      </c>
      <c r="L60" s="41" t="s">
        <v>486</v>
      </c>
      <c r="M60" s="38" t="s">
        <v>222</v>
      </c>
      <c r="N60" s="29" t="s">
        <v>369</v>
      </c>
      <c r="O60" s="29" t="s">
        <v>374</v>
      </c>
      <c r="P60" s="29" t="s">
        <v>373</v>
      </c>
      <c r="Q60" s="29" t="s">
        <v>376</v>
      </c>
      <c r="R60" s="35"/>
    </row>
    <row r="61" spans="1:18" s="20" customFormat="1" ht="40.5" x14ac:dyDescent="0.3">
      <c r="A61" s="29" t="s">
        <v>438</v>
      </c>
      <c r="B61" s="29" t="s">
        <v>468</v>
      </c>
      <c r="C61" s="29" t="s">
        <v>31</v>
      </c>
      <c r="D61" s="34" t="s">
        <v>196</v>
      </c>
      <c r="E61" s="29"/>
      <c r="F61" s="35" t="s">
        <v>347</v>
      </c>
      <c r="G61" s="37" t="s">
        <v>197</v>
      </c>
      <c r="H61" s="29" t="s">
        <v>213</v>
      </c>
      <c r="I61" s="36" t="s">
        <v>202</v>
      </c>
      <c r="J61" s="38" t="s">
        <v>225</v>
      </c>
      <c r="K61" s="40" t="s">
        <v>526</v>
      </c>
      <c r="L61" s="41" t="s">
        <v>486</v>
      </c>
      <c r="M61" s="38" t="s">
        <v>225</v>
      </c>
      <c r="N61" s="29" t="s">
        <v>369</v>
      </c>
      <c r="O61" s="29" t="s">
        <v>374</v>
      </c>
      <c r="P61" s="29" t="s">
        <v>373</v>
      </c>
      <c r="Q61" s="29" t="s">
        <v>376</v>
      </c>
      <c r="R61" s="35"/>
    </row>
    <row r="62" spans="1:18" s="20" customFormat="1" ht="55.5" customHeight="1" x14ac:dyDescent="0.3">
      <c r="A62" s="29" t="s">
        <v>439</v>
      </c>
      <c r="B62" s="29" t="s">
        <v>468</v>
      </c>
      <c r="C62" s="29" t="s">
        <v>31</v>
      </c>
      <c r="D62" s="34" t="s">
        <v>196</v>
      </c>
      <c r="E62" s="29"/>
      <c r="F62" s="35" t="s">
        <v>347</v>
      </c>
      <c r="G62" s="37" t="s">
        <v>197</v>
      </c>
      <c r="H62" s="29" t="s">
        <v>214</v>
      </c>
      <c r="I62" s="36" t="s">
        <v>197</v>
      </c>
      <c r="J62" s="38" t="s">
        <v>226</v>
      </c>
      <c r="K62" s="40"/>
      <c r="L62" s="41" t="s">
        <v>488</v>
      </c>
      <c r="M62" s="38" t="s">
        <v>547</v>
      </c>
      <c r="N62" s="29" t="s">
        <v>369</v>
      </c>
      <c r="O62" s="29" t="s">
        <v>374</v>
      </c>
      <c r="P62" s="29" t="s">
        <v>373</v>
      </c>
      <c r="Q62" s="29" t="s">
        <v>376</v>
      </c>
      <c r="R62" s="35" t="s">
        <v>529</v>
      </c>
    </row>
    <row r="63" spans="1:18" s="20" customFormat="1" x14ac:dyDescent="0.3">
      <c r="A63" s="29" t="s">
        <v>440</v>
      </c>
      <c r="B63" s="29" t="s">
        <v>468</v>
      </c>
      <c r="C63" s="29" t="s">
        <v>31</v>
      </c>
      <c r="D63" s="34" t="s">
        <v>196</v>
      </c>
      <c r="E63" s="29"/>
      <c r="F63" s="35" t="s">
        <v>347</v>
      </c>
      <c r="G63" s="37" t="s">
        <v>197</v>
      </c>
      <c r="H63" s="29" t="s">
        <v>215</v>
      </c>
      <c r="I63" s="36" t="s">
        <v>203</v>
      </c>
      <c r="J63" s="38" t="s">
        <v>227</v>
      </c>
      <c r="K63" s="40"/>
      <c r="L63" s="41" t="s">
        <v>486</v>
      </c>
      <c r="M63" s="38" t="s">
        <v>227</v>
      </c>
      <c r="N63" s="29" t="s">
        <v>370</v>
      </c>
      <c r="O63" s="29" t="s">
        <v>374</v>
      </c>
      <c r="P63" s="29" t="s">
        <v>373</v>
      </c>
      <c r="Q63" s="29" t="s">
        <v>376</v>
      </c>
      <c r="R63" s="35"/>
    </row>
    <row r="64" spans="1:18" s="20" customFormat="1" x14ac:dyDescent="0.3">
      <c r="A64" s="29" t="s">
        <v>441</v>
      </c>
      <c r="B64" s="29" t="s">
        <v>468</v>
      </c>
      <c r="C64" s="29" t="s">
        <v>31</v>
      </c>
      <c r="D64" s="34" t="s">
        <v>196</v>
      </c>
      <c r="E64" s="29"/>
      <c r="F64" s="35" t="s">
        <v>347</v>
      </c>
      <c r="G64" s="37" t="s">
        <v>197</v>
      </c>
      <c r="H64" s="29" t="s">
        <v>216</v>
      </c>
      <c r="I64" s="36" t="s">
        <v>204</v>
      </c>
      <c r="J64" s="38" t="s">
        <v>228</v>
      </c>
      <c r="K64" s="40"/>
      <c r="L64" s="41" t="s">
        <v>486</v>
      </c>
      <c r="M64" s="38" t="s">
        <v>228</v>
      </c>
      <c r="N64" s="29" t="s">
        <v>370</v>
      </c>
      <c r="O64" s="29" t="s">
        <v>374</v>
      </c>
      <c r="P64" s="29" t="s">
        <v>373</v>
      </c>
      <c r="Q64" s="29" t="s">
        <v>376</v>
      </c>
      <c r="R64" s="35"/>
    </row>
    <row r="65" spans="1:18" s="20" customFormat="1" x14ac:dyDescent="0.3">
      <c r="A65" s="29" t="s">
        <v>442</v>
      </c>
      <c r="B65" s="29" t="s">
        <v>468</v>
      </c>
      <c r="C65" s="29" t="s">
        <v>31</v>
      </c>
      <c r="D65" s="34" t="s">
        <v>196</v>
      </c>
      <c r="E65" s="29"/>
      <c r="F65" s="35" t="s">
        <v>347</v>
      </c>
      <c r="G65" s="37" t="s">
        <v>197</v>
      </c>
      <c r="H65" s="29" t="s">
        <v>217</v>
      </c>
      <c r="I65" s="36" t="s">
        <v>205</v>
      </c>
      <c r="J65" s="38" t="s">
        <v>229</v>
      </c>
      <c r="K65" s="40"/>
      <c r="L65" s="41" t="s">
        <v>486</v>
      </c>
      <c r="M65" s="38" t="s">
        <v>229</v>
      </c>
      <c r="N65" s="29" t="s">
        <v>370</v>
      </c>
      <c r="O65" s="29" t="s">
        <v>374</v>
      </c>
      <c r="P65" s="29" t="s">
        <v>373</v>
      </c>
      <c r="Q65" s="29" t="s">
        <v>376</v>
      </c>
      <c r="R65" s="35"/>
    </row>
    <row r="66" spans="1:18" s="20" customFormat="1" x14ac:dyDescent="0.3">
      <c r="A66" s="29" t="s">
        <v>443</v>
      </c>
      <c r="B66" s="29" t="s">
        <v>468</v>
      </c>
      <c r="C66" s="29" t="s">
        <v>31</v>
      </c>
      <c r="D66" s="34" t="s">
        <v>196</v>
      </c>
      <c r="E66" s="29"/>
      <c r="F66" s="35" t="s">
        <v>347</v>
      </c>
      <c r="G66" s="37" t="s">
        <v>197</v>
      </c>
      <c r="H66" s="29" t="s">
        <v>218</v>
      </c>
      <c r="I66" s="36" t="s">
        <v>206</v>
      </c>
      <c r="J66" s="38" t="s">
        <v>230</v>
      </c>
      <c r="K66" s="40"/>
      <c r="L66" s="41" t="s">
        <v>486</v>
      </c>
      <c r="M66" s="38" t="s">
        <v>230</v>
      </c>
      <c r="N66" s="29" t="s">
        <v>370</v>
      </c>
      <c r="O66" s="29" t="s">
        <v>374</v>
      </c>
      <c r="P66" s="29" t="s">
        <v>373</v>
      </c>
      <c r="Q66" s="29" t="s">
        <v>376</v>
      </c>
      <c r="R66" s="35"/>
    </row>
    <row r="67" spans="1:18" s="20" customFormat="1" x14ac:dyDescent="0.3">
      <c r="A67" s="29" t="s">
        <v>444</v>
      </c>
      <c r="B67" s="29" t="s">
        <v>468</v>
      </c>
      <c r="C67" s="29" t="s">
        <v>31</v>
      </c>
      <c r="D67" s="34" t="s">
        <v>196</v>
      </c>
      <c r="E67" s="29"/>
      <c r="F67" s="35" t="s">
        <v>347</v>
      </c>
      <c r="G67" s="37" t="s">
        <v>197</v>
      </c>
      <c r="H67" s="29" t="s">
        <v>219</v>
      </c>
      <c r="I67" s="36" t="s">
        <v>207</v>
      </c>
      <c r="J67" s="38" t="s">
        <v>231</v>
      </c>
      <c r="K67" s="40"/>
      <c r="L67" s="41" t="s">
        <v>486</v>
      </c>
      <c r="M67" s="38" t="s">
        <v>231</v>
      </c>
      <c r="N67" s="29" t="s">
        <v>370</v>
      </c>
      <c r="O67" s="29" t="s">
        <v>374</v>
      </c>
      <c r="P67" s="29" t="s">
        <v>373</v>
      </c>
      <c r="Q67" s="29" t="s">
        <v>376</v>
      </c>
      <c r="R67" s="35"/>
    </row>
    <row r="68" spans="1:18" s="20" customFormat="1" x14ac:dyDescent="0.3">
      <c r="A68" s="29" t="s">
        <v>445</v>
      </c>
      <c r="B68" s="29" t="s">
        <v>468</v>
      </c>
      <c r="C68" s="29" t="s">
        <v>31</v>
      </c>
      <c r="D68" s="34" t="s">
        <v>196</v>
      </c>
      <c r="E68" s="29"/>
      <c r="F68" s="35" t="s">
        <v>347</v>
      </c>
      <c r="G68" s="37" t="s">
        <v>197</v>
      </c>
      <c r="H68" s="29" t="s">
        <v>220</v>
      </c>
      <c r="I68" s="36" t="s">
        <v>208</v>
      </c>
      <c r="J68" s="38" t="s">
        <v>232</v>
      </c>
      <c r="K68" s="40"/>
      <c r="L68" s="41" t="s">
        <v>486</v>
      </c>
      <c r="M68" s="38" t="s">
        <v>232</v>
      </c>
      <c r="N68" s="29" t="s">
        <v>370</v>
      </c>
      <c r="O68" s="29" t="s">
        <v>374</v>
      </c>
      <c r="P68" s="29" t="s">
        <v>373</v>
      </c>
      <c r="Q68" s="29" t="s">
        <v>376</v>
      </c>
      <c r="R68" s="35"/>
    </row>
    <row r="69" spans="1:18" s="20" customFormat="1" x14ac:dyDescent="0.3">
      <c r="A69" s="29" t="s">
        <v>446</v>
      </c>
      <c r="B69" s="29" t="s">
        <v>468</v>
      </c>
      <c r="C69" s="29" t="s">
        <v>31</v>
      </c>
      <c r="D69" s="34" t="s">
        <v>196</v>
      </c>
      <c r="E69" s="29"/>
      <c r="F69" s="35" t="s">
        <v>347</v>
      </c>
      <c r="G69" s="37" t="s">
        <v>197</v>
      </c>
      <c r="H69" s="29" t="s">
        <v>221</v>
      </c>
      <c r="I69" s="36" t="s">
        <v>209</v>
      </c>
      <c r="J69" s="38" t="s">
        <v>233</v>
      </c>
      <c r="K69" s="40"/>
      <c r="L69" s="41" t="s">
        <v>486</v>
      </c>
      <c r="M69" s="38" t="s">
        <v>233</v>
      </c>
      <c r="N69" s="29" t="s">
        <v>370</v>
      </c>
      <c r="O69" s="29" t="s">
        <v>374</v>
      </c>
      <c r="P69" s="29" t="s">
        <v>373</v>
      </c>
      <c r="Q69" s="29" t="s">
        <v>376</v>
      </c>
      <c r="R69" s="35"/>
    </row>
    <row r="70" spans="1:18" s="20" customFormat="1" ht="27" x14ac:dyDescent="0.3">
      <c r="A70" s="29" t="s">
        <v>447</v>
      </c>
      <c r="B70" s="29" t="s">
        <v>468</v>
      </c>
      <c r="C70" s="29" t="s">
        <v>31</v>
      </c>
      <c r="D70" s="34" t="s">
        <v>234</v>
      </c>
      <c r="E70" s="29"/>
      <c r="F70" s="35" t="s">
        <v>347</v>
      </c>
      <c r="G70" s="37" t="s">
        <v>235</v>
      </c>
      <c r="H70" s="29" t="s">
        <v>236</v>
      </c>
      <c r="I70" s="36" t="s">
        <v>35</v>
      </c>
      <c r="J70" s="38" t="s">
        <v>42</v>
      </c>
      <c r="K70" s="40"/>
      <c r="L70" s="41" t="s">
        <v>486</v>
      </c>
      <c r="M70" s="38" t="s">
        <v>42</v>
      </c>
      <c r="N70" s="29" t="s">
        <v>369</v>
      </c>
      <c r="O70" s="29" t="s">
        <v>374</v>
      </c>
      <c r="P70" s="29" t="s">
        <v>373</v>
      </c>
      <c r="Q70" s="29" t="s">
        <v>376</v>
      </c>
      <c r="R70" s="35"/>
    </row>
    <row r="71" spans="1:18" s="20" customFormat="1" ht="67.5" x14ac:dyDescent="0.3">
      <c r="A71" s="29" t="s">
        <v>448</v>
      </c>
      <c r="B71" s="29" t="s">
        <v>468</v>
      </c>
      <c r="C71" s="29" t="s">
        <v>31</v>
      </c>
      <c r="D71" s="34" t="s">
        <v>234</v>
      </c>
      <c r="E71" s="29"/>
      <c r="F71" s="35" t="s">
        <v>347</v>
      </c>
      <c r="G71" s="37" t="s">
        <v>235</v>
      </c>
      <c r="H71" s="29" t="s">
        <v>252</v>
      </c>
      <c r="I71" s="36" t="s">
        <v>237</v>
      </c>
      <c r="J71" s="38" t="s">
        <v>267</v>
      </c>
      <c r="K71" s="40" t="s">
        <v>526</v>
      </c>
      <c r="L71" s="41" t="s">
        <v>486</v>
      </c>
      <c r="M71" s="38" t="s">
        <v>532</v>
      </c>
      <c r="N71" s="29" t="s">
        <v>369</v>
      </c>
      <c r="O71" s="29" t="s">
        <v>374</v>
      </c>
      <c r="P71" s="29" t="s">
        <v>373</v>
      </c>
      <c r="Q71" s="29" t="s">
        <v>376</v>
      </c>
      <c r="R71" s="35" t="s">
        <v>529</v>
      </c>
    </row>
    <row r="72" spans="1:18" s="20" customFormat="1" ht="40.5" x14ac:dyDescent="0.3">
      <c r="A72" s="29" t="s">
        <v>449</v>
      </c>
      <c r="B72" s="29" t="s">
        <v>468</v>
      </c>
      <c r="C72" s="29" t="s">
        <v>31</v>
      </c>
      <c r="D72" s="34" t="s">
        <v>234</v>
      </c>
      <c r="E72" s="29"/>
      <c r="F72" s="35" t="s">
        <v>347</v>
      </c>
      <c r="G72" s="37" t="s">
        <v>235</v>
      </c>
      <c r="H72" s="29" t="s">
        <v>253</v>
      </c>
      <c r="I72" s="36" t="s">
        <v>238</v>
      </c>
      <c r="J72" s="38" t="s">
        <v>268</v>
      </c>
      <c r="K72" s="40" t="s">
        <v>526</v>
      </c>
      <c r="L72" s="41" t="s">
        <v>486</v>
      </c>
      <c r="M72" s="38" t="s">
        <v>531</v>
      </c>
      <c r="N72" s="29" t="s">
        <v>369</v>
      </c>
      <c r="O72" s="29" t="s">
        <v>374</v>
      </c>
      <c r="P72" s="29" t="s">
        <v>373</v>
      </c>
      <c r="Q72" s="29" t="s">
        <v>376</v>
      </c>
      <c r="R72" s="35" t="s">
        <v>529</v>
      </c>
    </row>
    <row r="73" spans="1:18" s="20" customFormat="1" x14ac:dyDescent="0.3">
      <c r="A73" s="29" t="s">
        <v>450</v>
      </c>
      <c r="B73" s="29" t="s">
        <v>468</v>
      </c>
      <c r="C73" s="29" t="s">
        <v>31</v>
      </c>
      <c r="D73" s="34" t="s">
        <v>234</v>
      </c>
      <c r="E73" s="29"/>
      <c r="F73" s="35" t="s">
        <v>347</v>
      </c>
      <c r="G73" s="37" t="s">
        <v>235</v>
      </c>
      <c r="H73" s="29" t="s">
        <v>254</v>
      </c>
      <c r="I73" s="36" t="s">
        <v>239</v>
      </c>
      <c r="J73" s="38" t="s">
        <v>269</v>
      </c>
      <c r="K73" s="40" t="s">
        <v>526</v>
      </c>
      <c r="L73" s="41" t="s">
        <v>486</v>
      </c>
      <c r="M73" s="38" t="s">
        <v>269</v>
      </c>
      <c r="N73" s="29" t="s">
        <v>369</v>
      </c>
      <c r="O73" s="29" t="s">
        <v>374</v>
      </c>
      <c r="P73" s="29" t="s">
        <v>373</v>
      </c>
      <c r="Q73" s="29" t="s">
        <v>376</v>
      </c>
      <c r="R73" s="35"/>
    </row>
    <row r="74" spans="1:18" s="20" customFormat="1" x14ac:dyDescent="0.3">
      <c r="A74" s="29" t="s">
        <v>451</v>
      </c>
      <c r="B74" s="29" t="s">
        <v>468</v>
      </c>
      <c r="C74" s="29" t="s">
        <v>31</v>
      </c>
      <c r="D74" s="34" t="s">
        <v>234</v>
      </c>
      <c r="E74" s="29"/>
      <c r="F74" s="35" t="s">
        <v>347</v>
      </c>
      <c r="G74" s="37" t="s">
        <v>235</v>
      </c>
      <c r="H74" s="29" t="s">
        <v>255</v>
      </c>
      <c r="I74" s="36" t="s">
        <v>240</v>
      </c>
      <c r="J74" s="38" t="s">
        <v>270</v>
      </c>
      <c r="K74" s="40" t="s">
        <v>526</v>
      </c>
      <c r="L74" s="41" t="s">
        <v>486</v>
      </c>
      <c r="M74" s="38" t="s">
        <v>270</v>
      </c>
      <c r="N74" s="29" t="s">
        <v>369</v>
      </c>
      <c r="O74" s="29" t="s">
        <v>374</v>
      </c>
      <c r="P74" s="29" t="s">
        <v>373</v>
      </c>
      <c r="Q74" s="29" t="s">
        <v>376</v>
      </c>
      <c r="R74" s="35"/>
    </row>
    <row r="75" spans="1:18" s="20" customFormat="1" ht="40.5" x14ac:dyDescent="0.3">
      <c r="A75" s="29" t="s">
        <v>452</v>
      </c>
      <c r="B75" s="29" t="s">
        <v>468</v>
      </c>
      <c r="C75" s="29" t="s">
        <v>31</v>
      </c>
      <c r="D75" s="34" t="s">
        <v>234</v>
      </c>
      <c r="E75" s="29"/>
      <c r="F75" s="35" t="s">
        <v>347</v>
      </c>
      <c r="G75" s="37" t="s">
        <v>235</v>
      </c>
      <c r="H75" s="29" t="s">
        <v>256</v>
      </c>
      <c r="I75" s="36" t="s">
        <v>241</v>
      </c>
      <c r="J75" s="38" t="s">
        <v>271</v>
      </c>
      <c r="K75" s="40"/>
      <c r="L75" s="41" t="s">
        <v>486</v>
      </c>
      <c r="M75" s="38" t="s">
        <v>530</v>
      </c>
      <c r="N75" s="29" t="s">
        <v>369</v>
      </c>
      <c r="O75" s="29" t="s">
        <v>374</v>
      </c>
      <c r="P75" s="29" t="s">
        <v>373</v>
      </c>
      <c r="Q75" s="29" t="s">
        <v>376</v>
      </c>
      <c r="R75" s="35" t="s">
        <v>529</v>
      </c>
    </row>
    <row r="76" spans="1:18" s="20" customFormat="1" ht="67.5" x14ac:dyDescent="0.3">
      <c r="A76" s="29" t="s">
        <v>453</v>
      </c>
      <c r="B76" s="29" t="s">
        <v>468</v>
      </c>
      <c r="C76" s="29" t="s">
        <v>31</v>
      </c>
      <c r="D76" s="34" t="s">
        <v>234</v>
      </c>
      <c r="E76" s="29"/>
      <c r="F76" s="35" t="s">
        <v>347</v>
      </c>
      <c r="G76" s="37" t="s">
        <v>235</v>
      </c>
      <c r="H76" s="29" t="s">
        <v>257</v>
      </c>
      <c r="I76" s="36" t="s">
        <v>242</v>
      </c>
      <c r="J76" s="38" t="s">
        <v>272</v>
      </c>
      <c r="K76" s="40" t="s">
        <v>526</v>
      </c>
      <c r="L76" s="41" t="s">
        <v>486</v>
      </c>
      <c r="M76" s="38" t="s">
        <v>534</v>
      </c>
      <c r="N76" s="29" t="s">
        <v>369</v>
      </c>
      <c r="O76" s="29" t="s">
        <v>377</v>
      </c>
      <c r="P76" s="29" t="s">
        <v>373</v>
      </c>
      <c r="Q76" s="29" t="s">
        <v>376</v>
      </c>
      <c r="R76" s="35" t="s">
        <v>529</v>
      </c>
    </row>
    <row r="77" spans="1:18" s="20" customFormat="1" ht="54" x14ac:dyDescent="0.3">
      <c r="A77" s="29" t="s">
        <v>454</v>
      </c>
      <c r="B77" s="29" t="s">
        <v>468</v>
      </c>
      <c r="C77" s="29" t="s">
        <v>31</v>
      </c>
      <c r="D77" s="34" t="s">
        <v>234</v>
      </c>
      <c r="E77" s="29"/>
      <c r="F77" s="35" t="s">
        <v>347</v>
      </c>
      <c r="G77" s="37" t="s">
        <v>235</v>
      </c>
      <c r="H77" s="29" t="s">
        <v>258</v>
      </c>
      <c r="I77" s="36" t="s">
        <v>243</v>
      </c>
      <c r="J77" s="38" t="s">
        <v>273</v>
      </c>
      <c r="K77" s="40"/>
      <c r="L77" s="41" t="s">
        <v>488</v>
      </c>
      <c r="M77" s="38" t="s">
        <v>544</v>
      </c>
      <c r="N77" s="29" t="s">
        <v>369</v>
      </c>
      <c r="O77" s="29" t="s">
        <v>374</v>
      </c>
      <c r="P77" s="29" t="s">
        <v>373</v>
      </c>
      <c r="Q77" s="29" t="s">
        <v>376</v>
      </c>
      <c r="R77" s="35" t="s">
        <v>529</v>
      </c>
    </row>
    <row r="78" spans="1:18" s="20" customFormat="1" ht="40.5" x14ac:dyDescent="0.3">
      <c r="A78" s="29" t="s">
        <v>455</v>
      </c>
      <c r="B78" s="29" t="s">
        <v>468</v>
      </c>
      <c r="C78" s="29" t="s">
        <v>31</v>
      </c>
      <c r="D78" s="34" t="s">
        <v>234</v>
      </c>
      <c r="E78" s="29"/>
      <c r="F78" s="35" t="s">
        <v>347</v>
      </c>
      <c r="G78" s="37" t="s">
        <v>235</v>
      </c>
      <c r="H78" s="29" t="s">
        <v>259</v>
      </c>
      <c r="I78" s="36" t="s">
        <v>244</v>
      </c>
      <c r="J78" s="38" t="s">
        <v>274</v>
      </c>
      <c r="K78" s="40"/>
      <c r="L78" s="41" t="s">
        <v>486</v>
      </c>
      <c r="M78" s="38" t="s">
        <v>545</v>
      </c>
      <c r="N78" s="29" t="s">
        <v>370</v>
      </c>
      <c r="O78" s="29" t="s">
        <v>374</v>
      </c>
      <c r="P78" s="29" t="s">
        <v>373</v>
      </c>
      <c r="Q78" s="29" t="s">
        <v>376</v>
      </c>
      <c r="R78" s="35" t="s">
        <v>529</v>
      </c>
    </row>
    <row r="79" spans="1:18" s="20" customFormat="1" x14ac:dyDescent="0.3">
      <c r="A79" s="29" t="s">
        <v>456</v>
      </c>
      <c r="B79" s="29" t="s">
        <v>468</v>
      </c>
      <c r="C79" s="29" t="s">
        <v>31</v>
      </c>
      <c r="D79" s="34" t="s">
        <v>234</v>
      </c>
      <c r="E79" s="29"/>
      <c r="F79" s="35" t="s">
        <v>347</v>
      </c>
      <c r="G79" s="37" t="s">
        <v>235</v>
      </c>
      <c r="H79" s="29" t="s">
        <v>260</v>
      </c>
      <c r="I79" s="36" t="s">
        <v>245</v>
      </c>
      <c r="J79" s="38" t="s">
        <v>275</v>
      </c>
      <c r="K79" s="40"/>
      <c r="L79" s="41" t="s">
        <v>486</v>
      </c>
      <c r="M79" s="38" t="s">
        <v>275</v>
      </c>
      <c r="N79" s="29" t="s">
        <v>370</v>
      </c>
      <c r="O79" s="29" t="s">
        <v>374</v>
      </c>
      <c r="P79" s="29" t="s">
        <v>373</v>
      </c>
      <c r="Q79" s="29" t="s">
        <v>376</v>
      </c>
      <c r="R79" s="35"/>
    </row>
    <row r="80" spans="1:18" s="20" customFormat="1" x14ac:dyDescent="0.3">
      <c r="A80" s="29" t="s">
        <v>457</v>
      </c>
      <c r="B80" s="29" t="s">
        <v>468</v>
      </c>
      <c r="C80" s="29" t="s">
        <v>31</v>
      </c>
      <c r="D80" s="34" t="s">
        <v>234</v>
      </c>
      <c r="E80" s="29"/>
      <c r="F80" s="35" t="s">
        <v>347</v>
      </c>
      <c r="G80" s="37" t="s">
        <v>235</v>
      </c>
      <c r="H80" s="29" t="s">
        <v>261</v>
      </c>
      <c r="I80" s="36" t="s">
        <v>246</v>
      </c>
      <c r="J80" s="38" t="s">
        <v>276</v>
      </c>
      <c r="K80" s="40"/>
      <c r="L80" s="41" t="s">
        <v>486</v>
      </c>
      <c r="M80" s="38" t="s">
        <v>276</v>
      </c>
      <c r="N80" s="29" t="s">
        <v>370</v>
      </c>
      <c r="O80" s="29" t="s">
        <v>374</v>
      </c>
      <c r="P80" s="29" t="s">
        <v>373</v>
      </c>
      <c r="Q80" s="29" t="s">
        <v>376</v>
      </c>
      <c r="R80" s="35"/>
    </row>
    <row r="81" spans="1:18" s="20" customFormat="1" x14ac:dyDescent="0.3">
      <c r="A81" s="29" t="s">
        <v>458</v>
      </c>
      <c r="B81" s="29" t="s">
        <v>468</v>
      </c>
      <c r="C81" s="29" t="s">
        <v>31</v>
      </c>
      <c r="D81" s="34" t="s">
        <v>234</v>
      </c>
      <c r="E81" s="29"/>
      <c r="F81" s="35" t="s">
        <v>347</v>
      </c>
      <c r="G81" s="37" t="s">
        <v>235</v>
      </c>
      <c r="H81" s="29" t="s">
        <v>262</v>
      </c>
      <c r="I81" s="36" t="s">
        <v>247</v>
      </c>
      <c r="J81" s="38" t="s">
        <v>277</v>
      </c>
      <c r="K81" s="40"/>
      <c r="L81" s="41" t="s">
        <v>486</v>
      </c>
      <c r="M81" s="38" t="s">
        <v>277</v>
      </c>
      <c r="N81" s="29" t="s">
        <v>370</v>
      </c>
      <c r="O81" s="29" t="s">
        <v>374</v>
      </c>
      <c r="P81" s="29" t="s">
        <v>373</v>
      </c>
      <c r="Q81" s="29" t="s">
        <v>376</v>
      </c>
      <c r="R81" s="35"/>
    </row>
    <row r="82" spans="1:18" s="20" customFormat="1" ht="27" x14ac:dyDescent="0.3">
      <c r="A82" s="29" t="s">
        <v>459</v>
      </c>
      <c r="B82" s="29" t="s">
        <v>468</v>
      </c>
      <c r="C82" s="29" t="s">
        <v>31</v>
      </c>
      <c r="D82" s="34" t="s">
        <v>234</v>
      </c>
      <c r="E82" s="29"/>
      <c r="F82" s="35" t="s">
        <v>347</v>
      </c>
      <c r="G82" s="37" t="s">
        <v>235</v>
      </c>
      <c r="H82" s="29" t="s">
        <v>263</v>
      </c>
      <c r="I82" s="36" t="s">
        <v>248</v>
      </c>
      <c r="J82" s="38" t="s">
        <v>278</v>
      </c>
      <c r="K82" s="40"/>
      <c r="L82" s="41" t="s">
        <v>486</v>
      </c>
      <c r="M82" s="38" t="s">
        <v>546</v>
      </c>
      <c r="N82" s="29" t="s">
        <v>370</v>
      </c>
      <c r="O82" s="29" t="s">
        <v>374</v>
      </c>
      <c r="P82" s="29" t="s">
        <v>373</v>
      </c>
      <c r="Q82" s="29" t="s">
        <v>376</v>
      </c>
      <c r="R82" s="35" t="s">
        <v>529</v>
      </c>
    </row>
    <row r="83" spans="1:18" s="20" customFormat="1" x14ac:dyDescent="0.3">
      <c r="A83" s="29" t="s">
        <v>460</v>
      </c>
      <c r="B83" s="29" t="s">
        <v>468</v>
      </c>
      <c r="C83" s="29" t="s">
        <v>31</v>
      </c>
      <c r="D83" s="34" t="s">
        <v>234</v>
      </c>
      <c r="E83" s="29"/>
      <c r="F83" s="35" t="s">
        <v>347</v>
      </c>
      <c r="G83" s="37" t="s">
        <v>235</v>
      </c>
      <c r="H83" s="29" t="s">
        <v>264</v>
      </c>
      <c r="I83" s="36" t="s">
        <v>249</v>
      </c>
      <c r="J83" s="38" t="s">
        <v>279</v>
      </c>
      <c r="K83" s="40"/>
      <c r="L83" s="41" t="s">
        <v>486</v>
      </c>
      <c r="M83" s="38" t="s">
        <v>279</v>
      </c>
      <c r="N83" s="29" t="s">
        <v>370</v>
      </c>
      <c r="O83" s="29" t="s">
        <v>374</v>
      </c>
      <c r="P83" s="29" t="s">
        <v>373</v>
      </c>
      <c r="Q83" s="29" t="s">
        <v>376</v>
      </c>
      <c r="R83" s="35"/>
    </row>
    <row r="84" spans="1:18" s="20" customFormat="1" x14ac:dyDescent="0.3">
      <c r="A84" s="29" t="s">
        <v>461</v>
      </c>
      <c r="B84" s="29" t="s">
        <v>468</v>
      </c>
      <c r="C84" s="29" t="s">
        <v>31</v>
      </c>
      <c r="D84" s="34" t="s">
        <v>234</v>
      </c>
      <c r="E84" s="29"/>
      <c r="F84" s="35" t="s">
        <v>347</v>
      </c>
      <c r="G84" s="37" t="s">
        <v>235</v>
      </c>
      <c r="H84" s="29" t="s">
        <v>265</v>
      </c>
      <c r="I84" s="36" t="s">
        <v>250</v>
      </c>
      <c r="J84" s="38" t="s">
        <v>280</v>
      </c>
      <c r="K84" s="40"/>
      <c r="L84" s="41" t="s">
        <v>486</v>
      </c>
      <c r="M84" s="38" t="s">
        <v>280</v>
      </c>
      <c r="N84" s="29" t="s">
        <v>370</v>
      </c>
      <c r="O84" s="29" t="s">
        <v>374</v>
      </c>
      <c r="P84" s="29" t="s">
        <v>373</v>
      </c>
      <c r="Q84" s="29" t="s">
        <v>376</v>
      </c>
      <c r="R84" s="35"/>
    </row>
    <row r="85" spans="1:18" s="20" customFormat="1" x14ac:dyDescent="0.3">
      <c r="A85" s="29" t="s">
        <v>462</v>
      </c>
      <c r="B85" s="29" t="s">
        <v>468</v>
      </c>
      <c r="C85" s="29" t="s">
        <v>31</v>
      </c>
      <c r="D85" s="34" t="s">
        <v>234</v>
      </c>
      <c r="E85" s="29"/>
      <c r="F85" s="35" t="s">
        <v>347</v>
      </c>
      <c r="G85" s="37" t="s">
        <v>235</v>
      </c>
      <c r="H85" s="29" t="s">
        <v>266</v>
      </c>
      <c r="I85" s="36" t="s">
        <v>251</v>
      </c>
      <c r="J85" s="38" t="s">
        <v>281</v>
      </c>
      <c r="K85" s="40"/>
      <c r="L85" s="41" t="s">
        <v>486</v>
      </c>
      <c r="M85" s="38" t="s">
        <v>281</v>
      </c>
      <c r="N85" s="29" t="s">
        <v>370</v>
      </c>
      <c r="O85" s="29" t="s">
        <v>374</v>
      </c>
      <c r="P85" s="29" t="s">
        <v>373</v>
      </c>
      <c r="Q85" s="29" t="s">
        <v>376</v>
      </c>
      <c r="R85" s="35"/>
    </row>
    <row r="86" spans="1:18" s="20" customFormat="1" ht="54" x14ac:dyDescent="0.3">
      <c r="A86" s="29" t="s">
        <v>463</v>
      </c>
      <c r="B86" s="29" t="s">
        <v>468</v>
      </c>
      <c r="C86" s="29" t="s">
        <v>31</v>
      </c>
      <c r="D86" s="34" t="s">
        <v>282</v>
      </c>
      <c r="E86" s="29"/>
      <c r="F86" s="35" t="s">
        <v>347</v>
      </c>
      <c r="G86" s="37" t="s">
        <v>283</v>
      </c>
      <c r="H86" s="29" t="s">
        <v>284</v>
      </c>
      <c r="I86" s="36" t="s">
        <v>285</v>
      </c>
      <c r="J86" s="38" t="s">
        <v>294</v>
      </c>
      <c r="K86" s="40"/>
      <c r="L86" s="41" t="s">
        <v>488</v>
      </c>
      <c r="M86" s="38" t="s">
        <v>294</v>
      </c>
      <c r="N86" s="29" t="s">
        <v>369</v>
      </c>
      <c r="O86" s="29" t="s">
        <v>374</v>
      </c>
      <c r="P86" s="29" t="s">
        <v>373</v>
      </c>
      <c r="Q86" s="29" t="s">
        <v>376</v>
      </c>
      <c r="R86" s="35"/>
    </row>
    <row r="87" spans="1:18" s="20" customFormat="1" ht="27" x14ac:dyDescent="0.3">
      <c r="A87" s="29" t="s">
        <v>464</v>
      </c>
      <c r="B87" s="29" t="s">
        <v>468</v>
      </c>
      <c r="C87" s="29" t="s">
        <v>31</v>
      </c>
      <c r="D87" s="34" t="s">
        <v>282</v>
      </c>
      <c r="E87" s="29"/>
      <c r="F87" s="35" t="s">
        <v>347</v>
      </c>
      <c r="G87" s="37" t="s">
        <v>283</v>
      </c>
      <c r="H87" s="29" t="s">
        <v>290</v>
      </c>
      <c r="I87" s="36" t="s">
        <v>286</v>
      </c>
      <c r="J87" s="38" t="s">
        <v>295</v>
      </c>
      <c r="K87" s="40"/>
      <c r="L87" s="41" t="s">
        <v>488</v>
      </c>
      <c r="M87" s="38" t="s">
        <v>295</v>
      </c>
      <c r="N87" s="29" t="s">
        <v>369</v>
      </c>
      <c r="O87" s="29" t="s">
        <v>374</v>
      </c>
      <c r="P87" s="29" t="s">
        <v>373</v>
      </c>
      <c r="Q87" s="29" t="s">
        <v>376</v>
      </c>
      <c r="R87" s="35"/>
    </row>
    <row r="88" spans="1:18" s="20" customFormat="1" ht="40.5" x14ac:dyDescent="0.3">
      <c r="A88" s="29" t="s">
        <v>465</v>
      </c>
      <c r="B88" s="29" t="s">
        <v>468</v>
      </c>
      <c r="C88" s="29" t="s">
        <v>31</v>
      </c>
      <c r="D88" s="34" t="s">
        <v>282</v>
      </c>
      <c r="E88" s="29"/>
      <c r="F88" s="35" t="s">
        <v>347</v>
      </c>
      <c r="G88" s="37" t="s">
        <v>283</v>
      </c>
      <c r="H88" s="29" t="s">
        <v>291</v>
      </c>
      <c r="I88" s="36" t="s">
        <v>287</v>
      </c>
      <c r="J88" s="38" t="s">
        <v>296</v>
      </c>
      <c r="K88" s="40"/>
      <c r="L88" s="41" t="s">
        <v>486</v>
      </c>
      <c r="M88" s="38" t="s">
        <v>296</v>
      </c>
      <c r="N88" s="29" t="s">
        <v>369</v>
      </c>
      <c r="O88" s="29" t="s">
        <v>374</v>
      </c>
      <c r="P88" s="29" t="s">
        <v>373</v>
      </c>
      <c r="Q88" s="29" t="s">
        <v>376</v>
      </c>
      <c r="R88" s="35"/>
    </row>
    <row r="89" spans="1:18" s="20" customFormat="1" x14ac:dyDescent="0.3">
      <c r="A89" s="29" t="s">
        <v>466</v>
      </c>
      <c r="B89" s="29" t="s">
        <v>468</v>
      </c>
      <c r="C89" s="29" t="s">
        <v>31</v>
      </c>
      <c r="D89" s="34" t="s">
        <v>282</v>
      </c>
      <c r="E89" s="29"/>
      <c r="F89" s="35" t="s">
        <v>347</v>
      </c>
      <c r="G89" s="37" t="s">
        <v>283</v>
      </c>
      <c r="H89" s="29" t="s">
        <v>292</v>
      </c>
      <c r="I89" s="39" t="s">
        <v>288</v>
      </c>
      <c r="J89" s="38" t="s">
        <v>297</v>
      </c>
      <c r="K89" s="40"/>
      <c r="L89" s="41" t="s">
        <v>488</v>
      </c>
      <c r="M89" s="38" t="s">
        <v>297</v>
      </c>
      <c r="N89" s="29" t="s">
        <v>369</v>
      </c>
      <c r="O89" s="29" t="s">
        <v>374</v>
      </c>
      <c r="P89" s="29" t="s">
        <v>373</v>
      </c>
      <c r="Q89" s="29" t="s">
        <v>376</v>
      </c>
      <c r="R89" s="35"/>
    </row>
    <row r="90" spans="1:18" s="20" customFormat="1" ht="72" customHeight="1" x14ac:dyDescent="0.3">
      <c r="A90" s="29" t="s">
        <v>467</v>
      </c>
      <c r="B90" s="29" t="s">
        <v>468</v>
      </c>
      <c r="C90" s="29" t="s">
        <v>31</v>
      </c>
      <c r="D90" s="34" t="s">
        <v>282</v>
      </c>
      <c r="E90" s="29"/>
      <c r="F90" s="35" t="s">
        <v>347</v>
      </c>
      <c r="G90" s="37" t="s">
        <v>283</v>
      </c>
      <c r="H90" s="29" t="s">
        <v>293</v>
      </c>
      <c r="I90" s="36" t="s">
        <v>289</v>
      </c>
      <c r="J90" s="38" t="s">
        <v>298</v>
      </c>
      <c r="K90" s="40"/>
      <c r="L90" s="41" t="s">
        <v>488</v>
      </c>
      <c r="M90" s="38" t="s">
        <v>298</v>
      </c>
      <c r="N90" s="29" t="s">
        <v>369</v>
      </c>
      <c r="O90" s="29" t="s">
        <v>374</v>
      </c>
      <c r="P90" s="29" t="s">
        <v>373</v>
      </c>
      <c r="Q90" s="29" t="s">
        <v>376</v>
      </c>
      <c r="R90" s="35"/>
    </row>
    <row r="91" spans="1:18" ht="27" x14ac:dyDescent="0.3">
      <c r="A91" s="29" t="s">
        <v>497</v>
      </c>
      <c r="B91" s="29" t="s">
        <v>468</v>
      </c>
      <c r="C91" s="29" t="s">
        <v>31</v>
      </c>
      <c r="D91" s="34"/>
      <c r="E91" s="29" t="s">
        <v>506</v>
      </c>
      <c r="F91" s="35" t="s">
        <v>579</v>
      </c>
      <c r="G91" s="36"/>
      <c r="H91" s="29" t="s">
        <v>552</v>
      </c>
      <c r="I91" s="78" t="s">
        <v>492</v>
      </c>
      <c r="J91" s="38" t="s">
        <v>520</v>
      </c>
      <c r="K91" s="79"/>
      <c r="L91" s="79" t="s">
        <v>518</v>
      </c>
      <c r="M91" s="38" t="s">
        <v>520</v>
      </c>
      <c r="N91" s="29" t="s">
        <v>370</v>
      </c>
      <c r="O91" s="29" t="s">
        <v>374</v>
      </c>
      <c r="P91" s="29" t="s">
        <v>373</v>
      </c>
      <c r="Q91" s="29" t="s">
        <v>376</v>
      </c>
      <c r="R91" s="80" t="s">
        <v>527</v>
      </c>
    </row>
    <row r="92" spans="1:18" ht="27" x14ac:dyDescent="0.3">
      <c r="A92" s="29" t="s">
        <v>498</v>
      </c>
      <c r="B92" s="29" t="s">
        <v>468</v>
      </c>
      <c r="C92" s="29" t="s">
        <v>31</v>
      </c>
      <c r="D92" s="34"/>
      <c r="E92" s="29" t="s">
        <v>506</v>
      </c>
      <c r="F92" s="35" t="s">
        <v>579</v>
      </c>
      <c r="G92" s="36"/>
      <c r="H92" s="29" t="s">
        <v>553</v>
      </c>
      <c r="I92" s="78" t="s">
        <v>493</v>
      </c>
      <c r="J92" s="38" t="s">
        <v>509</v>
      </c>
      <c r="K92" s="80"/>
      <c r="L92" s="80" t="s">
        <v>519</v>
      </c>
      <c r="M92" s="38" t="s">
        <v>509</v>
      </c>
      <c r="N92" s="29" t="s">
        <v>370</v>
      </c>
      <c r="O92" s="29" t="s">
        <v>374</v>
      </c>
      <c r="P92" s="29" t="s">
        <v>373</v>
      </c>
      <c r="Q92" s="29" t="s">
        <v>376</v>
      </c>
      <c r="R92" s="80" t="s">
        <v>527</v>
      </c>
    </row>
    <row r="93" spans="1:18" ht="54" x14ac:dyDescent="0.3">
      <c r="A93" s="29" t="s">
        <v>499</v>
      </c>
      <c r="B93" s="29" t="s">
        <v>468</v>
      </c>
      <c r="C93" s="29" t="s">
        <v>31</v>
      </c>
      <c r="D93" s="34"/>
      <c r="E93" s="29" t="s">
        <v>506</v>
      </c>
      <c r="F93" s="35" t="s">
        <v>579</v>
      </c>
      <c r="G93" s="36"/>
      <c r="H93" s="29" t="s">
        <v>554</v>
      </c>
      <c r="I93" s="78" t="s">
        <v>507</v>
      </c>
      <c r="J93" s="38" t="s">
        <v>540</v>
      </c>
      <c r="K93" s="40" t="s">
        <v>526</v>
      </c>
      <c r="L93" s="80" t="s">
        <v>519</v>
      </c>
      <c r="M93" s="38" t="s">
        <v>516</v>
      </c>
      <c r="N93" s="29" t="s">
        <v>368</v>
      </c>
      <c r="O93" s="29" t="s">
        <v>374</v>
      </c>
      <c r="P93" s="29" t="s">
        <v>373</v>
      </c>
      <c r="Q93" s="29" t="s">
        <v>376</v>
      </c>
      <c r="R93" s="80" t="s">
        <v>527</v>
      </c>
    </row>
    <row r="94" spans="1:18" ht="40.5" x14ac:dyDescent="0.3">
      <c r="A94" s="29" t="s">
        <v>500</v>
      </c>
      <c r="B94" s="29" t="s">
        <v>468</v>
      </c>
      <c r="C94" s="29" t="s">
        <v>31</v>
      </c>
      <c r="D94" s="34"/>
      <c r="E94" s="29" t="s">
        <v>506</v>
      </c>
      <c r="F94" s="35" t="s">
        <v>579</v>
      </c>
      <c r="G94" s="37"/>
      <c r="H94" s="29" t="s">
        <v>555</v>
      </c>
      <c r="I94" s="78" t="s">
        <v>508</v>
      </c>
      <c r="J94" s="38" t="s">
        <v>517</v>
      </c>
      <c r="K94" s="40" t="s">
        <v>526</v>
      </c>
      <c r="L94" s="80" t="s">
        <v>519</v>
      </c>
      <c r="M94" s="38" t="s">
        <v>517</v>
      </c>
      <c r="N94" s="29" t="s">
        <v>368</v>
      </c>
      <c r="O94" s="29" t="s">
        <v>374</v>
      </c>
      <c r="P94" s="29" t="s">
        <v>373</v>
      </c>
      <c r="Q94" s="29" t="s">
        <v>376</v>
      </c>
      <c r="R94" s="80" t="s">
        <v>527</v>
      </c>
    </row>
    <row r="95" spans="1:18" ht="27" x14ac:dyDescent="0.3">
      <c r="A95" s="29" t="s">
        <v>501</v>
      </c>
      <c r="B95" s="29" t="s">
        <v>468</v>
      </c>
      <c r="C95" s="29" t="s">
        <v>31</v>
      </c>
      <c r="D95" s="34"/>
      <c r="E95" s="29" t="s">
        <v>506</v>
      </c>
      <c r="F95" s="35" t="s">
        <v>579</v>
      </c>
      <c r="G95" s="37"/>
      <c r="H95" s="29" t="s">
        <v>556</v>
      </c>
      <c r="I95" s="78" t="s">
        <v>494</v>
      </c>
      <c r="J95" s="38" t="s">
        <v>511</v>
      </c>
      <c r="K95" s="80"/>
      <c r="L95" s="80" t="s">
        <v>519</v>
      </c>
      <c r="M95" s="38" t="s">
        <v>511</v>
      </c>
      <c r="N95" s="29" t="s">
        <v>370</v>
      </c>
      <c r="O95" s="29" t="s">
        <v>374</v>
      </c>
      <c r="P95" s="29" t="s">
        <v>373</v>
      </c>
      <c r="Q95" s="29" t="s">
        <v>376</v>
      </c>
      <c r="R95" s="80" t="s">
        <v>527</v>
      </c>
    </row>
    <row r="96" spans="1:18" ht="27" x14ac:dyDescent="0.3">
      <c r="A96" s="29" t="s">
        <v>502</v>
      </c>
      <c r="B96" s="29" t="s">
        <v>468</v>
      </c>
      <c r="C96" s="29" t="s">
        <v>31</v>
      </c>
      <c r="D96" s="34"/>
      <c r="E96" s="29" t="s">
        <v>506</v>
      </c>
      <c r="F96" s="35" t="s">
        <v>579</v>
      </c>
      <c r="G96" s="37"/>
      <c r="H96" s="29" t="s">
        <v>557</v>
      </c>
      <c r="I96" s="78" t="s">
        <v>495</v>
      </c>
      <c r="J96" s="38" t="s">
        <v>512</v>
      </c>
      <c r="K96" s="80"/>
      <c r="L96" s="80" t="s">
        <v>519</v>
      </c>
      <c r="M96" s="38" t="s">
        <v>512</v>
      </c>
      <c r="N96" s="29" t="s">
        <v>370</v>
      </c>
      <c r="O96" s="29" t="s">
        <v>374</v>
      </c>
      <c r="P96" s="29" t="s">
        <v>373</v>
      </c>
      <c r="Q96" s="29" t="s">
        <v>376</v>
      </c>
      <c r="R96" s="80" t="s">
        <v>527</v>
      </c>
    </row>
    <row r="97" spans="1:18" ht="27" x14ac:dyDescent="0.3">
      <c r="A97" s="29" t="s">
        <v>503</v>
      </c>
      <c r="B97" s="29" t="s">
        <v>468</v>
      </c>
      <c r="C97" s="29" t="s">
        <v>31</v>
      </c>
      <c r="D97" s="34"/>
      <c r="E97" s="29" t="s">
        <v>506</v>
      </c>
      <c r="F97" s="35" t="s">
        <v>579</v>
      </c>
      <c r="G97" s="37"/>
      <c r="H97" s="29" t="s">
        <v>558</v>
      </c>
      <c r="I97" s="81" t="s">
        <v>513</v>
      </c>
      <c r="J97" s="38" t="s">
        <v>514</v>
      </c>
      <c r="K97" s="80"/>
      <c r="L97" s="80" t="s">
        <v>519</v>
      </c>
      <c r="M97" s="38" t="s">
        <v>514</v>
      </c>
      <c r="N97" s="29" t="s">
        <v>370</v>
      </c>
      <c r="O97" s="29" t="s">
        <v>374</v>
      </c>
      <c r="P97" s="29" t="s">
        <v>373</v>
      </c>
      <c r="Q97" s="29" t="s">
        <v>376</v>
      </c>
      <c r="R97" s="80" t="s">
        <v>527</v>
      </c>
    </row>
    <row r="98" spans="1:18" ht="27" x14ac:dyDescent="0.3">
      <c r="A98" s="29" t="s">
        <v>504</v>
      </c>
      <c r="B98" s="29" t="s">
        <v>468</v>
      </c>
      <c r="C98" s="29" t="s">
        <v>31</v>
      </c>
      <c r="D98" s="34"/>
      <c r="E98" s="29" t="s">
        <v>506</v>
      </c>
      <c r="F98" s="35" t="s">
        <v>579</v>
      </c>
      <c r="G98" s="37"/>
      <c r="H98" s="29" t="s">
        <v>559</v>
      </c>
      <c r="I98" s="78" t="s">
        <v>496</v>
      </c>
      <c r="J98" s="38" t="s">
        <v>515</v>
      </c>
      <c r="K98" s="80"/>
      <c r="L98" s="80" t="s">
        <v>519</v>
      </c>
      <c r="M98" s="38" t="s">
        <v>515</v>
      </c>
      <c r="N98" s="29" t="s">
        <v>370</v>
      </c>
      <c r="O98" s="29" t="s">
        <v>374</v>
      </c>
      <c r="P98" s="29" t="s">
        <v>373</v>
      </c>
      <c r="Q98" s="29" t="s">
        <v>376</v>
      </c>
      <c r="R98" s="80" t="s">
        <v>527</v>
      </c>
    </row>
    <row r="99" spans="1:18" ht="54" x14ac:dyDescent="0.3">
      <c r="A99" s="29" t="s">
        <v>505</v>
      </c>
      <c r="B99" s="29" t="s">
        <v>468</v>
      </c>
      <c r="C99" s="29" t="s">
        <v>31</v>
      </c>
      <c r="D99" s="34"/>
      <c r="E99" s="29" t="s">
        <v>506</v>
      </c>
      <c r="F99" s="35" t="s">
        <v>579</v>
      </c>
      <c r="G99" s="37"/>
      <c r="H99" s="29" t="s">
        <v>580</v>
      </c>
      <c r="I99" s="81" t="s">
        <v>510</v>
      </c>
      <c r="J99" s="38" t="s">
        <v>596</v>
      </c>
      <c r="K99" s="80"/>
      <c r="L99" s="80" t="s">
        <v>519</v>
      </c>
      <c r="M99" s="38" t="s">
        <v>596</v>
      </c>
      <c r="N99" s="29" t="s">
        <v>368</v>
      </c>
      <c r="O99" s="29" t="s">
        <v>374</v>
      </c>
      <c r="P99" s="29" t="s">
        <v>373</v>
      </c>
      <c r="Q99" s="29" t="s">
        <v>376</v>
      </c>
      <c r="R99" s="80" t="s">
        <v>527</v>
      </c>
    </row>
    <row r="100" spans="1:18" ht="27" x14ac:dyDescent="0.3">
      <c r="A100" s="29" t="s">
        <v>543</v>
      </c>
      <c r="B100" s="29" t="s">
        <v>468</v>
      </c>
      <c r="C100" s="29" t="s">
        <v>31</v>
      </c>
      <c r="D100" s="34"/>
      <c r="E100" s="29" t="s">
        <v>506</v>
      </c>
      <c r="F100" s="35" t="s">
        <v>579</v>
      </c>
      <c r="G100" s="82"/>
      <c r="H100" s="29" t="s">
        <v>560</v>
      </c>
      <c r="I100" s="82" t="s">
        <v>539</v>
      </c>
      <c r="J100" s="83" t="s">
        <v>541</v>
      </c>
      <c r="K100" s="40" t="s">
        <v>526</v>
      </c>
      <c r="L100" s="80" t="s">
        <v>486</v>
      </c>
      <c r="M100" s="83" t="s">
        <v>542</v>
      </c>
      <c r="N100" s="29" t="s">
        <v>368</v>
      </c>
      <c r="O100" s="29" t="s">
        <v>374</v>
      </c>
      <c r="P100" s="29" t="s">
        <v>373</v>
      </c>
      <c r="Q100" s="29" t="s">
        <v>376</v>
      </c>
      <c r="R100" s="80" t="s">
        <v>527</v>
      </c>
    </row>
    <row r="101" spans="1:18" ht="27" x14ac:dyDescent="0.3">
      <c r="A101" s="29" t="s">
        <v>565</v>
      </c>
      <c r="B101" s="29" t="s">
        <v>468</v>
      </c>
      <c r="C101" s="29" t="s">
        <v>31</v>
      </c>
      <c r="D101" s="34"/>
      <c r="E101" s="29" t="s">
        <v>506</v>
      </c>
      <c r="F101" s="35" t="s">
        <v>579</v>
      </c>
      <c r="G101" s="82"/>
      <c r="H101" s="29" t="s">
        <v>581</v>
      </c>
      <c r="I101" s="84" t="s">
        <v>561</v>
      </c>
      <c r="J101" s="80" t="s">
        <v>568</v>
      </c>
      <c r="K101" s="80"/>
      <c r="L101" s="80" t="s">
        <v>564</v>
      </c>
      <c r="M101" s="80" t="s">
        <v>570</v>
      </c>
      <c r="N101" s="29" t="s">
        <v>368</v>
      </c>
      <c r="O101" s="29" t="s">
        <v>374</v>
      </c>
      <c r="P101" s="29" t="s">
        <v>373</v>
      </c>
      <c r="Q101" s="29" t="s">
        <v>376</v>
      </c>
      <c r="R101" s="80" t="s">
        <v>527</v>
      </c>
    </row>
    <row r="102" spans="1:18" ht="27" x14ac:dyDescent="0.3">
      <c r="A102" s="29" t="s">
        <v>566</v>
      </c>
      <c r="B102" s="29" t="s">
        <v>468</v>
      </c>
      <c r="C102" s="29" t="s">
        <v>31</v>
      </c>
      <c r="D102" s="34"/>
      <c r="E102" s="29" t="s">
        <v>506</v>
      </c>
      <c r="F102" s="35" t="s">
        <v>579</v>
      </c>
      <c r="G102" s="82"/>
      <c r="H102" s="29" t="s">
        <v>563</v>
      </c>
      <c r="I102" s="84" t="s">
        <v>562</v>
      </c>
      <c r="J102" s="80" t="s">
        <v>569</v>
      </c>
      <c r="K102" s="80"/>
      <c r="L102" s="80" t="s">
        <v>486</v>
      </c>
      <c r="M102" s="80" t="s">
        <v>571</v>
      </c>
      <c r="N102" s="29" t="s">
        <v>368</v>
      </c>
      <c r="O102" s="29" t="s">
        <v>374</v>
      </c>
      <c r="P102" s="29" t="s">
        <v>373</v>
      </c>
      <c r="Q102" s="29" t="s">
        <v>376</v>
      </c>
      <c r="R102" s="80" t="s">
        <v>527</v>
      </c>
    </row>
    <row r="103" spans="1:18" ht="27" x14ac:dyDescent="0.3">
      <c r="A103" s="29" t="s">
        <v>577</v>
      </c>
      <c r="B103" s="29" t="s">
        <v>468</v>
      </c>
      <c r="C103" s="29" t="s">
        <v>31</v>
      </c>
      <c r="D103" s="34"/>
      <c r="E103" s="29" t="s">
        <v>506</v>
      </c>
      <c r="F103" s="35" t="s">
        <v>579</v>
      </c>
      <c r="G103" s="82"/>
      <c r="H103" s="29" t="s">
        <v>575</v>
      </c>
      <c r="I103" s="82" t="s">
        <v>567</v>
      </c>
      <c r="J103" s="80" t="s">
        <v>572</v>
      </c>
      <c r="K103" s="80"/>
      <c r="L103" s="80" t="s">
        <v>564</v>
      </c>
      <c r="M103" s="80" t="s">
        <v>572</v>
      </c>
      <c r="N103" s="29" t="s">
        <v>368</v>
      </c>
      <c r="O103" s="29" t="s">
        <v>374</v>
      </c>
      <c r="P103" s="29" t="s">
        <v>373</v>
      </c>
      <c r="Q103" s="29" t="s">
        <v>376</v>
      </c>
      <c r="R103" s="80" t="s">
        <v>527</v>
      </c>
    </row>
    <row r="104" spans="1:18" ht="27" x14ac:dyDescent="0.3">
      <c r="A104" s="29" t="s">
        <v>578</v>
      </c>
      <c r="B104" s="29" t="s">
        <v>468</v>
      </c>
      <c r="C104" s="29" t="s">
        <v>31</v>
      </c>
      <c r="D104" s="34"/>
      <c r="E104" s="29" t="s">
        <v>506</v>
      </c>
      <c r="F104" s="35" t="s">
        <v>579</v>
      </c>
      <c r="G104" s="82"/>
      <c r="H104" s="29" t="s">
        <v>576</v>
      </c>
      <c r="I104" s="82" t="s">
        <v>573</v>
      </c>
      <c r="J104" s="80" t="s">
        <v>574</v>
      </c>
      <c r="K104" s="80"/>
      <c r="L104" s="41" t="s">
        <v>488</v>
      </c>
      <c r="M104" s="80" t="s">
        <v>574</v>
      </c>
      <c r="N104" s="29" t="s">
        <v>368</v>
      </c>
      <c r="O104" s="29" t="s">
        <v>374</v>
      </c>
      <c r="P104" s="29" t="s">
        <v>373</v>
      </c>
      <c r="Q104" s="29" t="s">
        <v>376</v>
      </c>
      <c r="R104" s="80" t="s">
        <v>527</v>
      </c>
    </row>
    <row r="105" spans="1:18" ht="16.5" x14ac:dyDescent="0.3">
      <c r="A105" s="29" t="s">
        <v>588</v>
      </c>
      <c r="B105" s="29" t="s">
        <v>589</v>
      </c>
      <c r="C105" s="117" t="s">
        <v>592</v>
      </c>
      <c r="D105" s="37"/>
      <c r="E105" s="60" t="s">
        <v>590</v>
      </c>
      <c r="F105" s="60"/>
      <c r="G105" s="82"/>
      <c r="H105" s="118" t="s">
        <v>591</v>
      </c>
      <c r="I105" s="78" t="s">
        <v>593</v>
      </c>
      <c r="J105" s="83" t="s">
        <v>594</v>
      </c>
      <c r="K105" s="40" t="s">
        <v>526</v>
      </c>
      <c r="L105" s="80" t="s">
        <v>486</v>
      </c>
      <c r="M105" s="83" t="s">
        <v>595</v>
      </c>
      <c r="N105" s="29" t="s">
        <v>368</v>
      </c>
      <c r="O105" s="29" t="s">
        <v>374</v>
      </c>
      <c r="P105" s="29" t="s">
        <v>373</v>
      </c>
      <c r="Q105" s="29" t="s">
        <v>376</v>
      </c>
      <c r="R105" s="80"/>
    </row>
  </sheetData>
  <autoFilter ref="A1:Q104"/>
  <phoneticPr fontId="1" type="noConversion"/>
  <pageMargins left="0.25" right="0.25" top="0.75" bottom="0.75" header="0.3" footer="0.3"/>
  <pageSetup paperSize="9" scale="37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4"/>
  <sheetViews>
    <sheetView workbookViewId="0">
      <selection activeCell="C25" sqref="C25"/>
    </sheetView>
  </sheetViews>
  <sheetFormatPr defaultRowHeight="16.5" x14ac:dyDescent="0.3"/>
  <cols>
    <col min="1" max="1" width="2.5" customWidth="1"/>
    <col min="2" max="2" width="11.125" customWidth="1"/>
    <col min="3" max="3" width="26.75" customWidth="1"/>
    <col min="4" max="4" width="5.5" customWidth="1"/>
    <col min="19" max="19" width="3.125" customWidth="1"/>
  </cols>
  <sheetData>
    <row r="1" spans="1:19" ht="31.5" customHeight="1" x14ac:dyDescent="0.3">
      <c r="A1" s="47"/>
      <c r="B1" s="48" t="s">
        <v>348</v>
      </c>
      <c r="C1" s="49" t="s">
        <v>349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</row>
    <row r="2" spans="1:19" ht="20.25" x14ac:dyDescent="0.3">
      <c r="A2" s="52"/>
      <c r="B2" s="53" t="s">
        <v>350</v>
      </c>
      <c r="C2" s="54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</row>
    <row r="3" spans="1:19" x14ac:dyDescent="0.3">
      <c r="A3" s="52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6"/>
    </row>
    <row r="4" spans="1:19" x14ac:dyDescent="0.3">
      <c r="A4" s="52"/>
      <c r="B4" s="116" t="s">
        <v>351</v>
      </c>
      <c r="C4" s="116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6"/>
    </row>
    <row r="5" spans="1:19" x14ac:dyDescent="0.3">
      <c r="A5" s="52"/>
      <c r="B5" s="57" t="s">
        <v>352</v>
      </c>
      <c r="C5" s="58" t="s">
        <v>353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6"/>
    </row>
    <row r="6" spans="1:19" x14ac:dyDescent="0.3">
      <c r="A6" s="52"/>
      <c r="B6" s="59" t="s">
        <v>354</v>
      </c>
      <c r="C6" s="60">
        <f>COUNTIF('요구사항정의서(MIS)'!$E:$E, $B6)</f>
        <v>15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6"/>
    </row>
    <row r="7" spans="1:19" x14ac:dyDescent="0.3">
      <c r="A7" s="52"/>
      <c r="B7" s="59" t="s">
        <v>355</v>
      </c>
      <c r="C7" s="60">
        <f>COUNTIF('요구사항정의서(MIS)'!$E:$E, $B7)</f>
        <v>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</row>
    <row r="8" spans="1:19" x14ac:dyDescent="0.3">
      <c r="A8" s="52"/>
      <c r="B8" s="59" t="s">
        <v>356</v>
      </c>
      <c r="C8" s="60">
        <f>COUNTIF('요구사항정의서(MIS)'!$E:$E, $B8)</f>
        <v>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6"/>
    </row>
    <row r="9" spans="1:19" x14ac:dyDescent="0.3">
      <c r="A9" s="52"/>
      <c r="B9" s="59" t="s">
        <v>357</v>
      </c>
      <c r="C9" s="60">
        <f>COUNTIF('요구사항정의서(MIS)'!$E:$E, $B9)</f>
        <v>1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6"/>
    </row>
    <row r="10" spans="1:19" x14ac:dyDescent="0.3">
      <c r="A10" s="52"/>
      <c r="B10" s="59" t="s">
        <v>358</v>
      </c>
      <c r="C10" s="60">
        <f>COUNTIF('요구사항정의서(MIS)'!$E:$E, $B10)</f>
        <v>0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6"/>
    </row>
    <row r="11" spans="1:19" x14ac:dyDescent="0.3">
      <c r="A11" s="52"/>
      <c r="B11" s="61" t="s">
        <v>359</v>
      </c>
      <c r="C11" s="62">
        <f>SUM(C6:C10)</f>
        <v>16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6"/>
    </row>
    <row r="12" spans="1:19" x14ac:dyDescent="0.3">
      <c r="A12" s="52"/>
      <c r="B12" s="63"/>
      <c r="C12" s="63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6"/>
    </row>
    <row r="13" spans="1:19" x14ac:dyDescent="0.3">
      <c r="A13" s="52"/>
      <c r="B13" s="116" t="s">
        <v>360</v>
      </c>
      <c r="C13" s="116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6"/>
    </row>
    <row r="14" spans="1:19" x14ac:dyDescent="0.3">
      <c r="A14" s="52"/>
      <c r="B14" s="57" t="s">
        <v>352</v>
      </c>
      <c r="C14" s="58" t="s">
        <v>353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3">
      <c r="A15" s="52"/>
      <c r="B15" s="59" t="s">
        <v>361</v>
      </c>
      <c r="C15" s="64">
        <f>COUNTIF('요구사항정의서(MIS)'!$N:$N, $B15)</f>
        <v>1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6"/>
    </row>
    <row r="16" spans="1:19" x14ac:dyDescent="0.3">
      <c r="A16" s="52"/>
      <c r="B16" s="59" t="s">
        <v>362</v>
      </c>
      <c r="C16" s="64">
        <f>COUNTIF('요구사항정의서(MIS)'!$N:$N, $B16)</f>
        <v>62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6"/>
    </row>
    <row r="17" spans="1:19" x14ac:dyDescent="0.3">
      <c r="A17" s="52"/>
      <c r="B17" s="59" t="s">
        <v>363</v>
      </c>
      <c r="C17" s="64">
        <f>COUNTIF('요구사항정의서(MIS)'!$N:$N, $B17)</f>
        <v>41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6"/>
    </row>
    <row r="18" spans="1:19" x14ac:dyDescent="0.3">
      <c r="A18" s="52"/>
      <c r="B18" s="61" t="s">
        <v>359</v>
      </c>
      <c r="C18" s="62">
        <f>SUM(C15:C17)</f>
        <v>104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</row>
    <row r="19" spans="1:19" x14ac:dyDescent="0.3">
      <c r="A19" s="52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/>
    </row>
    <row r="20" spans="1:19" x14ac:dyDescent="0.3">
      <c r="A20" s="52"/>
      <c r="B20" s="116" t="s">
        <v>364</v>
      </c>
      <c r="C20" s="116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6"/>
    </row>
    <row r="21" spans="1:19" x14ac:dyDescent="0.3">
      <c r="A21" s="52"/>
      <c r="B21" s="57" t="s">
        <v>352</v>
      </c>
      <c r="C21" s="58" t="s">
        <v>353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6"/>
    </row>
    <row r="22" spans="1:19" x14ac:dyDescent="0.3">
      <c r="A22" s="52"/>
      <c r="B22" s="59" t="s">
        <v>365</v>
      </c>
      <c r="C22" s="65">
        <f>COUNTIF('요구사항정의서(MIS)'!$Q:$Q, $B22)</f>
        <v>103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6"/>
    </row>
    <row r="23" spans="1:19" x14ac:dyDescent="0.3">
      <c r="A23" s="52"/>
      <c r="B23" s="59" t="s">
        <v>366</v>
      </c>
      <c r="C23" s="60">
        <f>COUNTIF('요구사항정의서(MIS)'!$Q:$Q, $B23)</f>
        <v>1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6"/>
    </row>
    <row r="24" spans="1:19" x14ac:dyDescent="0.3">
      <c r="A24" s="52"/>
      <c r="B24" s="65" t="s">
        <v>367</v>
      </c>
      <c r="C24" s="66">
        <f>COUNTIF('요구사항정의서(MIS)'!$Q:$Q, $B24)</f>
        <v>0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6"/>
    </row>
    <row r="25" spans="1:19" x14ac:dyDescent="0.3">
      <c r="A25" s="52"/>
      <c r="B25" s="61" t="s">
        <v>359</v>
      </c>
      <c r="C25" s="62">
        <f>SUM(C22:C24)</f>
        <v>104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6"/>
    </row>
    <row r="26" spans="1:19" x14ac:dyDescent="0.3">
      <c r="A26" s="52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6"/>
    </row>
    <row r="27" spans="1:19" x14ac:dyDescent="0.3">
      <c r="A27" s="52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6"/>
    </row>
    <row r="28" spans="1:19" x14ac:dyDescent="0.3">
      <c r="A28" s="52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6"/>
    </row>
    <row r="29" spans="1:19" x14ac:dyDescent="0.3">
      <c r="A29" s="52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6"/>
    </row>
    <row r="30" spans="1:19" x14ac:dyDescent="0.3">
      <c r="A30" s="52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6"/>
    </row>
    <row r="31" spans="1:19" x14ac:dyDescent="0.3">
      <c r="A31" s="52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6"/>
    </row>
    <row r="32" spans="1:19" x14ac:dyDescent="0.3">
      <c r="A32" s="52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6"/>
    </row>
    <row r="33" spans="1:19" x14ac:dyDescent="0.3">
      <c r="A33" s="52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6"/>
    </row>
    <row r="34" spans="1:19" ht="17.25" thickBot="1" x14ac:dyDescent="0.3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9"/>
    </row>
  </sheetData>
  <mergeCells count="3">
    <mergeCell ref="B4:C4"/>
    <mergeCell ref="B13:C13"/>
    <mergeCell ref="B20:C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표지</vt:lpstr>
      <vt:lpstr>첫장</vt:lpstr>
      <vt:lpstr>설명</vt:lpstr>
      <vt:lpstr>요구사항정의서(MIS)</vt:lpstr>
      <vt:lpstr>요약</vt:lpstr>
      <vt:lpstr>'요구사항정의서(MIS)'!Print_Area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Paik</dc:creator>
  <cp:lastModifiedBy>A2M</cp:lastModifiedBy>
  <cp:lastPrinted>2017-10-26T00:03:07Z</cp:lastPrinted>
  <dcterms:created xsi:type="dcterms:W3CDTF">2017-09-28T09:21:00Z</dcterms:created>
  <dcterms:modified xsi:type="dcterms:W3CDTF">2024-03-15T08:38:41Z</dcterms:modified>
</cp:coreProperties>
</file>